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kingzhou/Library/CloudStorage/Dropbox/Ghost effect/Experimental/LT22 Invasion Experiment/"/>
    </mc:Choice>
  </mc:AlternateContent>
  <xr:revisionPtr revIDLastSave="0" documentId="13_ncr:1_{6E994B8C-6461-9B44-8551-775088558325}" xr6:coauthVersionLast="47" xr6:coauthVersionMax="47" xr10:uidLastSave="{00000000-0000-0000-0000-000000000000}"/>
  <bookViews>
    <workbookView xWindow="-28800" yWindow="7680" windowWidth="28800" windowHeight="17400" activeTab="3" xr2:uid="{4412EB58-E8E8-AC42-8871-B7AACB97A311}"/>
  </bookViews>
  <sheets>
    <sheet name="Day0" sheetId="1" r:id="rId1"/>
    <sheet name="Day2" sheetId="2" r:id="rId2"/>
    <sheet name="Day5" sheetId="3" r:id="rId3"/>
    <sheet name="Day8" sheetId="6" r:id="rId4"/>
    <sheet name="Day10" sheetId="4" r:id="rId5"/>
    <sheet name="Day1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6" l="1"/>
  <c r="G10" i="6"/>
  <c r="F10" i="6"/>
  <c r="H9" i="6"/>
  <c r="G9" i="6"/>
  <c r="F9" i="6"/>
  <c r="H8" i="6"/>
  <c r="G8" i="6"/>
  <c r="F8" i="6"/>
  <c r="F6" i="6"/>
  <c r="G6" i="6"/>
  <c r="H6" i="6"/>
  <c r="F7" i="6"/>
  <c r="G7" i="6"/>
  <c r="H7" i="6"/>
  <c r="G5" i="6"/>
  <c r="H5" i="6"/>
  <c r="F5" i="6"/>
  <c r="F3" i="6"/>
  <c r="G3" i="6"/>
  <c r="H3" i="6"/>
  <c r="F4" i="6"/>
  <c r="G4" i="6"/>
  <c r="H4" i="6"/>
  <c r="G2" i="6"/>
  <c r="H2" i="6"/>
  <c r="F2" i="6"/>
  <c r="F9" i="5"/>
  <c r="G9" i="5"/>
  <c r="H9" i="5"/>
  <c r="F10" i="5"/>
  <c r="G10" i="5"/>
  <c r="H10" i="5"/>
  <c r="G8" i="5"/>
  <c r="H8" i="5"/>
  <c r="F8" i="5"/>
  <c r="F6" i="5"/>
  <c r="G6" i="5"/>
  <c r="H6" i="5"/>
  <c r="F7" i="5"/>
  <c r="G7" i="5"/>
  <c r="H7" i="5"/>
  <c r="G5" i="5"/>
  <c r="H5" i="5"/>
  <c r="F5" i="5"/>
  <c r="F3" i="5"/>
  <c r="G3" i="5"/>
  <c r="F4" i="5"/>
  <c r="G4" i="5"/>
  <c r="G2" i="5"/>
  <c r="F2" i="5"/>
  <c r="F9" i="4"/>
  <c r="G9" i="4"/>
  <c r="H9" i="4"/>
  <c r="F10" i="4"/>
  <c r="G10" i="4"/>
  <c r="H10" i="4"/>
  <c r="G8" i="4"/>
  <c r="H8" i="4"/>
  <c r="F8" i="4"/>
  <c r="F6" i="4"/>
  <c r="G6" i="4"/>
  <c r="H6" i="4"/>
  <c r="F7" i="4"/>
  <c r="G7" i="4"/>
  <c r="H7" i="4"/>
  <c r="G5" i="4"/>
  <c r="H5" i="4"/>
  <c r="F5" i="4"/>
  <c r="F3" i="4"/>
  <c r="G3" i="4"/>
  <c r="H3" i="4"/>
  <c r="F4" i="4"/>
  <c r="G4" i="4"/>
  <c r="H4" i="4"/>
  <c r="G2" i="4"/>
  <c r="H2" i="4"/>
  <c r="F2" i="4"/>
  <c r="F6" i="3"/>
  <c r="G6" i="3"/>
  <c r="H6" i="3"/>
  <c r="F7" i="3"/>
  <c r="G7" i="3"/>
  <c r="H7" i="3"/>
  <c r="F8" i="3"/>
  <c r="G8" i="3"/>
  <c r="H8" i="3"/>
  <c r="F9" i="3"/>
  <c r="G9" i="3"/>
  <c r="H9" i="3"/>
  <c r="F10" i="3"/>
  <c r="G10" i="3"/>
  <c r="H10" i="3"/>
  <c r="G5" i="3"/>
  <c r="H5" i="3"/>
  <c r="F5" i="3"/>
  <c r="F3" i="3"/>
  <c r="G3" i="3"/>
  <c r="H3" i="3"/>
  <c r="F4" i="3"/>
  <c r="G4" i="3"/>
  <c r="H4" i="3"/>
  <c r="G2" i="3"/>
  <c r="H2" i="3"/>
  <c r="F2" i="3"/>
  <c r="G10" i="2"/>
  <c r="H10" i="2"/>
  <c r="F10" i="2"/>
  <c r="F3" i="2"/>
  <c r="G3" i="2"/>
  <c r="H3" i="2"/>
  <c r="F4" i="2"/>
  <c r="G4" i="2"/>
  <c r="H4" i="2"/>
  <c r="G2" i="2"/>
  <c r="H2" i="2"/>
  <c r="F2" i="2"/>
</calcChain>
</file>

<file path=xl/sharedStrings.xml><?xml version="1.0" encoding="utf-8"?>
<sst xmlns="http://schemas.openxmlformats.org/spreadsheetml/2006/main" count="84" uniqueCount="19">
  <si>
    <t>1:100 dilution</t>
  </si>
  <si>
    <t>Comm87 + R388 (Day 12)</t>
  </si>
  <si>
    <t>LB</t>
  </si>
  <si>
    <t>Biological Replicate</t>
  </si>
  <si>
    <t>Plasmid (Converted)</t>
  </si>
  <si>
    <t>Plasmid (Raw)</t>
  </si>
  <si>
    <t>Note</t>
  </si>
  <si>
    <t>Comm57 + pCU1 (Day 3)</t>
  </si>
  <si>
    <t>Comm57 + R6K (Day 3)</t>
  </si>
  <si>
    <t>LB: 2*10^6</t>
  </si>
  <si>
    <t>Plasmid: 2*10^6</t>
  </si>
  <si>
    <t>Plasmid: 10^6</t>
  </si>
  <si>
    <t>10^6</t>
  </si>
  <si>
    <t>2*10^5</t>
  </si>
  <si>
    <t>LB: 10^6</t>
  </si>
  <si>
    <t>LB: 4*10^6</t>
  </si>
  <si>
    <t>LB: 1*10^6</t>
  </si>
  <si>
    <t>Plasmid: 2*10^5</t>
  </si>
  <si>
    <t>Plasmid: 1*10^6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</si>
</sst>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D84F-F9F5-C543-B339-A57FAD6F1DB6}">
  <dimension ref="A1:L10"/>
  <sheetViews>
    <sheetView zoomScale="140" zoomScaleNormal="140" workbookViewId="0">
      <selection sqref="A1:L10"/>
    </sheetView>
  </sheetViews>
  <sheetFormatPr baseColWidth="10" defaultRowHeight="16" x14ac:dyDescent="0.2"/>
  <cols>
    <col min="1" max="1" width="21.83203125" bestFit="1" customWidth="1"/>
    <col min="2" max="2" width="21.83203125" customWidth="1"/>
  </cols>
  <sheetData>
    <row r="1" spans="1:12" x14ac:dyDescent="0.2">
      <c r="A1" t="s">
        <v>0</v>
      </c>
      <c r="B1" t="s">
        <v>3</v>
      </c>
      <c r="C1" s="2" t="s">
        <v>2</v>
      </c>
      <c r="D1" s="2"/>
      <c r="E1" s="2"/>
      <c r="F1" s="2" t="s">
        <v>4</v>
      </c>
      <c r="G1" s="2"/>
      <c r="H1" s="2"/>
      <c r="I1" s="2" t="s">
        <v>5</v>
      </c>
      <c r="J1" s="2"/>
      <c r="K1" s="2"/>
      <c r="L1" t="s">
        <v>6</v>
      </c>
    </row>
    <row r="2" spans="1:12" x14ac:dyDescent="0.2">
      <c r="A2" s="1" t="s">
        <v>1</v>
      </c>
      <c r="B2" s="1">
        <v>1</v>
      </c>
      <c r="C2" s="1">
        <v>25</v>
      </c>
      <c r="D2" s="1">
        <v>27</v>
      </c>
      <c r="E2" s="1">
        <v>26</v>
      </c>
      <c r="F2" s="1">
        <v>4</v>
      </c>
      <c r="G2" s="1">
        <v>6</v>
      </c>
      <c r="H2" s="1">
        <v>3</v>
      </c>
      <c r="I2" s="1"/>
      <c r="J2" s="1"/>
      <c r="K2" s="1"/>
      <c r="L2" s="1" t="s">
        <v>9</v>
      </c>
    </row>
    <row r="3" spans="1:12" x14ac:dyDescent="0.2">
      <c r="A3" s="1"/>
      <c r="B3" s="1">
        <v>2</v>
      </c>
      <c r="C3" s="1">
        <v>29</v>
      </c>
      <c r="D3" s="1">
        <v>31</v>
      </c>
      <c r="E3" s="1">
        <v>27</v>
      </c>
      <c r="F3" s="1">
        <v>11</v>
      </c>
      <c r="G3" s="1">
        <v>10</v>
      </c>
      <c r="H3" s="1">
        <v>11</v>
      </c>
      <c r="I3" s="1"/>
      <c r="J3" s="1"/>
      <c r="K3" s="1"/>
      <c r="L3" s="1" t="s">
        <v>10</v>
      </c>
    </row>
    <row r="4" spans="1:12" x14ac:dyDescent="0.2">
      <c r="A4" s="1"/>
      <c r="B4" s="1">
        <v>3</v>
      </c>
      <c r="C4" s="1">
        <v>21</v>
      </c>
      <c r="D4" s="1">
        <v>19</v>
      </c>
      <c r="E4" s="1">
        <v>14</v>
      </c>
      <c r="F4" s="1">
        <v>4</v>
      </c>
      <c r="G4" s="1">
        <v>10</v>
      </c>
      <c r="H4" s="1">
        <v>2</v>
      </c>
      <c r="I4" s="1"/>
      <c r="J4" s="1"/>
      <c r="K4" s="1"/>
      <c r="L4" s="1"/>
    </row>
    <row r="5" spans="1:12" x14ac:dyDescent="0.2">
      <c r="A5" t="s">
        <v>7</v>
      </c>
      <c r="B5">
        <v>1</v>
      </c>
      <c r="C5">
        <v>56</v>
      </c>
      <c r="D5">
        <v>47</v>
      </c>
      <c r="E5">
        <v>57</v>
      </c>
      <c r="F5">
        <v>8</v>
      </c>
      <c r="G5">
        <v>12</v>
      </c>
      <c r="H5">
        <v>20</v>
      </c>
    </row>
    <row r="6" spans="1:12" x14ac:dyDescent="0.2">
      <c r="B6">
        <v>2</v>
      </c>
      <c r="C6">
        <v>77</v>
      </c>
      <c r="D6">
        <v>68</v>
      </c>
      <c r="E6">
        <v>76</v>
      </c>
      <c r="F6">
        <v>15</v>
      </c>
      <c r="G6">
        <v>15</v>
      </c>
      <c r="H6">
        <v>4</v>
      </c>
    </row>
    <row r="7" spans="1:12" x14ac:dyDescent="0.2">
      <c r="B7">
        <v>3</v>
      </c>
      <c r="C7">
        <v>57</v>
      </c>
      <c r="D7">
        <v>78</v>
      </c>
      <c r="E7">
        <v>75</v>
      </c>
      <c r="F7">
        <v>20</v>
      </c>
      <c r="G7">
        <v>18</v>
      </c>
      <c r="H7">
        <v>17</v>
      </c>
    </row>
    <row r="8" spans="1:12" x14ac:dyDescent="0.2">
      <c r="A8" s="1" t="s">
        <v>8</v>
      </c>
      <c r="B8" s="1">
        <v>1</v>
      </c>
      <c r="C8" s="1">
        <v>173</v>
      </c>
      <c r="D8" s="1">
        <v>171</v>
      </c>
      <c r="E8" s="1">
        <v>184</v>
      </c>
      <c r="F8" s="1">
        <v>79</v>
      </c>
      <c r="G8" s="1">
        <v>86</v>
      </c>
      <c r="H8" s="1">
        <v>65</v>
      </c>
      <c r="I8" s="1"/>
      <c r="J8" s="1"/>
      <c r="K8" s="1"/>
      <c r="L8" s="1"/>
    </row>
    <row r="9" spans="1:12" x14ac:dyDescent="0.2">
      <c r="A9" s="1"/>
      <c r="B9" s="1">
        <v>2</v>
      </c>
      <c r="C9" s="1">
        <v>42</v>
      </c>
      <c r="D9" s="1">
        <v>42</v>
      </c>
      <c r="E9" s="1">
        <v>43</v>
      </c>
      <c r="F9" s="1">
        <v>17</v>
      </c>
      <c r="G9" s="1">
        <v>10</v>
      </c>
      <c r="H9" s="1">
        <v>9</v>
      </c>
      <c r="I9" s="1"/>
      <c r="J9" s="1"/>
      <c r="K9" s="1"/>
      <c r="L9" s="1"/>
    </row>
    <row r="10" spans="1:12" x14ac:dyDescent="0.2">
      <c r="A10" s="1"/>
      <c r="B10" s="1">
        <v>3</v>
      </c>
      <c r="C10" s="1">
        <v>184</v>
      </c>
      <c r="D10" s="1">
        <v>166</v>
      </c>
      <c r="E10" s="1">
        <v>169</v>
      </c>
      <c r="F10" s="1">
        <v>60</v>
      </c>
      <c r="G10" s="1">
        <v>66</v>
      </c>
      <c r="H10" s="1">
        <v>58</v>
      </c>
      <c r="I10" s="1"/>
      <c r="J10" s="1"/>
      <c r="K10" s="1"/>
      <c r="L10" s="1"/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5E03-A1B8-2948-8799-051F7C16E09A}">
  <dimension ref="A1:M10"/>
  <sheetViews>
    <sheetView zoomScale="140" zoomScaleNormal="140" workbookViewId="0">
      <selection activeCell="F9" sqref="A1:M10"/>
    </sheetView>
  </sheetViews>
  <sheetFormatPr baseColWidth="10" defaultRowHeight="16" x14ac:dyDescent="0.2"/>
  <sheetData>
    <row r="1" spans="1:13" x14ac:dyDescent="0.2">
      <c r="A1" t="s">
        <v>0</v>
      </c>
      <c r="B1" t="s">
        <v>3</v>
      </c>
      <c r="C1" s="2" t="s">
        <v>2</v>
      </c>
      <c r="D1" s="2"/>
      <c r="E1" s="2"/>
      <c r="F1" s="2" t="s">
        <v>4</v>
      </c>
      <c r="G1" s="2"/>
      <c r="H1" s="2"/>
      <c r="I1" s="2" t="s">
        <v>5</v>
      </c>
      <c r="J1" s="2"/>
      <c r="K1" s="2"/>
      <c r="L1" t="s">
        <v>6</v>
      </c>
    </row>
    <row r="2" spans="1:13" x14ac:dyDescent="0.2">
      <c r="A2" s="1" t="s">
        <v>1</v>
      </c>
      <c r="B2" s="1">
        <v>1</v>
      </c>
      <c r="C2" s="1">
        <v>16</v>
      </c>
      <c r="D2" s="1">
        <v>55</v>
      </c>
      <c r="E2" s="1">
        <v>26</v>
      </c>
      <c r="F2" s="1">
        <f>I2/2</f>
        <v>5</v>
      </c>
      <c r="G2" s="1">
        <f t="shared" ref="G2:H2" si="0">J2/2</f>
        <v>5</v>
      </c>
      <c r="H2" s="1">
        <f t="shared" si="0"/>
        <v>5.5</v>
      </c>
      <c r="I2" s="1">
        <v>10</v>
      </c>
      <c r="J2" s="1">
        <v>10</v>
      </c>
      <c r="K2" s="1">
        <v>11</v>
      </c>
      <c r="L2" s="1" t="s">
        <v>9</v>
      </c>
    </row>
    <row r="3" spans="1:13" x14ac:dyDescent="0.2">
      <c r="A3" s="1"/>
      <c r="B3" s="1">
        <v>2</v>
      </c>
      <c r="C3" s="1">
        <v>71</v>
      </c>
      <c r="D3" s="1">
        <v>85</v>
      </c>
      <c r="E3" s="1">
        <v>54</v>
      </c>
      <c r="F3" s="1">
        <f t="shared" ref="F3:F4" si="1">I3/2</f>
        <v>14</v>
      </c>
      <c r="G3" s="1">
        <f t="shared" ref="G3:G4" si="2">J3/2</f>
        <v>26</v>
      </c>
      <c r="H3" s="1">
        <f t="shared" ref="H3:H4" si="3">K3/2</f>
        <v>12</v>
      </c>
      <c r="I3" s="1">
        <v>28</v>
      </c>
      <c r="J3" s="1">
        <v>52</v>
      </c>
      <c r="K3" s="1">
        <v>24</v>
      </c>
      <c r="L3" s="1" t="s">
        <v>11</v>
      </c>
    </row>
    <row r="4" spans="1:13" x14ac:dyDescent="0.2">
      <c r="A4" s="1"/>
      <c r="B4" s="1">
        <v>3</v>
      </c>
      <c r="C4" s="1">
        <v>110</v>
      </c>
      <c r="D4" s="1">
        <v>54</v>
      </c>
      <c r="E4" s="1">
        <v>98</v>
      </c>
      <c r="F4" s="1">
        <f t="shared" si="1"/>
        <v>21</v>
      </c>
      <c r="G4" s="1">
        <f t="shared" si="2"/>
        <v>27.5</v>
      </c>
      <c r="H4" s="1">
        <f t="shared" si="3"/>
        <v>26.5</v>
      </c>
      <c r="I4" s="1">
        <v>42</v>
      </c>
      <c r="J4" s="1">
        <v>55</v>
      </c>
      <c r="K4" s="1">
        <v>53</v>
      </c>
      <c r="L4" s="1"/>
    </row>
    <row r="5" spans="1:13" x14ac:dyDescent="0.2">
      <c r="A5" t="s">
        <v>7</v>
      </c>
      <c r="B5">
        <v>1</v>
      </c>
      <c r="C5">
        <v>65</v>
      </c>
      <c r="D5">
        <v>60</v>
      </c>
      <c r="E5">
        <v>63</v>
      </c>
      <c r="F5">
        <v>32</v>
      </c>
      <c r="G5">
        <v>20</v>
      </c>
      <c r="H5">
        <v>26</v>
      </c>
      <c r="L5" t="s">
        <v>14</v>
      </c>
    </row>
    <row r="6" spans="1:13" x14ac:dyDescent="0.2">
      <c r="B6">
        <v>2</v>
      </c>
      <c r="C6">
        <v>71</v>
      </c>
      <c r="D6">
        <v>76</v>
      </c>
      <c r="E6">
        <v>62</v>
      </c>
      <c r="F6">
        <v>31</v>
      </c>
      <c r="G6">
        <v>33</v>
      </c>
      <c r="H6">
        <v>28</v>
      </c>
      <c r="L6" t="s">
        <v>11</v>
      </c>
    </row>
    <row r="7" spans="1:13" x14ac:dyDescent="0.2">
      <c r="B7">
        <v>3</v>
      </c>
      <c r="C7">
        <v>63</v>
      </c>
      <c r="D7">
        <v>61</v>
      </c>
      <c r="E7">
        <v>57</v>
      </c>
      <c r="F7">
        <v>14</v>
      </c>
      <c r="G7">
        <v>14</v>
      </c>
      <c r="H7">
        <v>15</v>
      </c>
    </row>
    <row r="8" spans="1:13" x14ac:dyDescent="0.2">
      <c r="A8" s="1" t="s">
        <v>8</v>
      </c>
      <c r="B8" s="1">
        <v>1</v>
      </c>
      <c r="C8" s="1">
        <v>150</v>
      </c>
      <c r="D8" s="1">
        <v>202</v>
      </c>
      <c r="E8" s="1"/>
      <c r="F8" s="1">
        <v>64</v>
      </c>
      <c r="G8" s="1">
        <v>63</v>
      </c>
      <c r="H8" s="1">
        <v>74</v>
      </c>
      <c r="I8" s="1"/>
      <c r="J8" s="1"/>
      <c r="K8" s="1"/>
      <c r="L8" s="1" t="s">
        <v>11</v>
      </c>
      <c r="M8" s="1" t="s">
        <v>14</v>
      </c>
    </row>
    <row r="9" spans="1:13" x14ac:dyDescent="0.2">
      <c r="A9" s="1"/>
      <c r="B9" s="1">
        <v>2</v>
      </c>
      <c r="C9" s="1">
        <v>71</v>
      </c>
      <c r="D9" s="1">
        <v>64</v>
      </c>
      <c r="E9" s="1"/>
      <c r="F9" s="1">
        <v>45</v>
      </c>
      <c r="G9" s="1">
        <v>38</v>
      </c>
      <c r="H9" s="1">
        <v>32</v>
      </c>
      <c r="I9" s="1"/>
      <c r="J9" s="1"/>
      <c r="K9" s="1"/>
      <c r="L9" s="1" t="s">
        <v>12</v>
      </c>
    </row>
    <row r="10" spans="1:13" x14ac:dyDescent="0.2">
      <c r="A10" s="1"/>
      <c r="B10" s="1">
        <v>3</v>
      </c>
      <c r="C10" s="1">
        <v>15</v>
      </c>
      <c r="D10" s="1">
        <v>16</v>
      </c>
      <c r="E10" s="1"/>
      <c r="F10" s="1">
        <f>I10/5</f>
        <v>6.4</v>
      </c>
      <c r="G10" s="1">
        <f t="shared" ref="G10:H10" si="4">J10/5</f>
        <v>6.4</v>
      </c>
      <c r="H10" s="1">
        <f t="shared" si="4"/>
        <v>7.6</v>
      </c>
      <c r="I10" s="1">
        <v>32</v>
      </c>
      <c r="J10" s="1">
        <v>32</v>
      </c>
      <c r="K10" s="1">
        <v>38</v>
      </c>
      <c r="L10" s="1" t="s">
        <v>13</v>
      </c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5A03-3CFF-CA49-83BA-5CCB6D9E45EE}">
  <dimension ref="A1:L10"/>
  <sheetViews>
    <sheetView zoomScale="150" zoomScaleNormal="150" workbookViewId="0">
      <selection activeCell="E12" sqref="E12"/>
    </sheetView>
  </sheetViews>
  <sheetFormatPr baseColWidth="10" defaultRowHeight="16" x14ac:dyDescent="0.2"/>
  <sheetData>
    <row r="1" spans="1:12" x14ac:dyDescent="0.2">
      <c r="A1" t="s">
        <v>0</v>
      </c>
      <c r="B1" t="s">
        <v>3</v>
      </c>
      <c r="C1" s="2" t="s">
        <v>2</v>
      </c>
      <c r="D1" s="2"/>
      <c r="E1" s="2"/>
      <c r="F1" s="2" t="s">
        <v>4</v>
      </c>
      <c r="G1" s="2"/>
      <c r="H1" s="2"/>
      <c r="I1" s="2" t="s">
        <v>5</v>
      </c>
      <c r="J1" s="2"/>
      <c r="K1" s="2"/>
      <c r="L1" t="s">
        <v>6</v>
      </c>
    </row>
    <row r="2" spans="1:12" x14ac:dyDescent="0.2">
      <c r="A2" s="1" t="s">
        <v>1</v>
      </c>
      <c r="B2" s="1">
        <v>1</v>
      </c>
      <c r="C2" s="1">
        <v>43</v>
      </c>
      <c r="D2" s="1">
        <v>54</v>
      </c>
      <c r="E2" s="1">
        <v>42</v>
      </c>
      <c r="F2" s="1">
        <f>I2/2</f>
        <v>8</v>
      </c>
      <c r="G2" s="1">
        <f t="shared" ref="G2:H2" si="0">J2/2</f>
        <v>14.5</v>
      </c>
      <c r="H2" s="1">
        <f t="shared" si="0"/>
        <v>8</v>
      </c>
      <c r="I2" s="1">
        <v>16</v>
      </c>
      <c r="J2" s="1">
        <v>29</v>
      </c>
      <c r="K2" s="1">
        <v>16</v>
      </c>
      <c r="L2" s="1" t="s">
        <v>9</v>
      </c>
    </row>
    <row r="3" spans="1:12" x14ac:dyDescent="0.2">
      <c r="A3" s="1"/>
      <c r="B3" s="1">
        <v>2</v>
      </c>
      <c r="C3" s="1">
        <v>59</v>
      </c>
      <c r="D3" s="1">
        <v>52</v>
      </c>
      <c r="E3" s="1">
        <v>61</v>
      </c>
      <c r="F3" s="1">
        <f t="shared" ref="F3:F4" si="1">I3/2</f>
        <v>12.5</v>
      </c>
      <c r="G3" s="1">
        <f t="shared" ref="G3:G5" si="2">J3/2</f>
        <v>19.5</v>
      </c>
      <c r="H3" s="1">
        <f t="shared" ref="H3:H5" si="3">K3/2</f>
        <v>13</v>
      </c>
      <c r="I3" s="1">
        <v>25</v>
      </c>
      <c r="J3" s="1">
        <v>39</v>
      </c>
      <c r="K3" s="1">
        <v>26</v>
      </c>
      <c r="L3" s="1" t="s">
        <v>11</v>
      </c>
    </row>
    <row r="4" spans="1:12" x14ac:dyDescent="0.2">
      <c r="A4" s="1"/>
      <c r="B4" s="1">
        <v>3</v>
      </c>
      <c r="C4" s="1">
        <v>21</v>
      </c>
      <c r="D4" s="1">
        <v>30</v>
      </c>
      <c r="E4" s="1">
        <v>29</v>
      </c>
      <c r="F4" s="1">
        <f t="shared" si="1"/>
        <v>4.5</v>
      </c>
      <c r="G4" s="1">
        <f t="shared" si="2"/>
        <v>7</v>
      </c>
      <c r="H4" s="1">
        <f t="shared" si="3"/>
        <v>6.5</v>
      </c>
      <c r="I4" s="1">
        <v>9</v>
      </c>
      <c r="J4" s="1">
        <v>14</v>
      </c>
      <c r="K4" s="1">
        <v>13</v>
      </c>
    </row>
    <row r="5" spans="1:12" x14ac:dyDescent="0.2">
      <c r="A5" t="s">
        <v>7</v>
      </c>
      <c r="B5">
        <v>1</v>
      </c>
      <c r="C5">
        <v>38</v>
      </c>
      <c r="D5">
        <v>51</v>
      </c>
      <c r="E5">
        <v>45</v>
      </c>
      <c r="F5">
        <f>I5/2</f>
        <v>0.5</v>
      </c>
      <c r="G5">
        <f t="shared" si="2"/>
        <v>0.5</v>
      </c>
      <c r="H5">
        <f t="shared" si="3"/>
        <v>0</v>
      </c>
      <c r="I5">
        <v>1</v>
      </c>
      <c r="J5">
        <v>1</v>
      </c>
      <c r="K5">
        <v>0</v>
      </c>
    </row>
    <row r="6" spans="1:12" x14ac:dyDescent="0.2">
      <c r="B6">
        <v>2</v>
      </c>
      <c r="C6">
        <v>49</v>
      </c>
      <c r="D6">
        <v>51</v>
      </c>
      <c r="E6">
        <v>52</v>
      </c>
      <c r="F6">
        <f t="shared" ref="F6:F10" si="4">I6/2</f>
        <v>5</v>
      </c>
      <c r="G6">
        <f t="shared" ref="G6:G10" si="5">J6/2</f>
        <v>4</v>
      </c>
      <c r="H6">
        <f t="shared" ref="H6:H10" si="6">K6/2</f>
        <v>4.5</v>
      </c>
      <c r="I6">
        <v>10</v>
      </c>
      <c r="J6">
        <v>8</v>
      </c>
      <c r="K6">
        <v>9</v>
      </c>
    </row>
    <row r="7" spans="1:12" x14ac:dyDescent="0.2">
      <c r="B7">
        <v>3</v>
      </c>
      <c r="C7">
        <v>63</v>
      </c>
      <c r="D7">
        <v>62</v>
      </c>
      <c r="E7">
        <v>89</v>
      </c>
      <c r="F7">
        <f t="shared" si="4"/>
        <v>6.5</v>
      </c>
      <c r="G7">
        <f t="shared" si="5"/>
        <v>16</v>
      </c>
      <c r="H7">
        <f t="shared" si="6"/>
        <v>9.5</v>
      </c>
      <c r="I7">
        <v>13</v>
      </c>
      <c r="J7">
        <v>32</v>
      </c>
      <c r="K7">
        <v>19</v>
      </c>
    </row>
    <row r="8" spans="1:12" x14ac:dyDescent="0.2">
      <c r="A8" s="1" t="s">
        <v>8</v>
      </c>
      <c r="B8" s="1">
        <v>1</v>
      </c>
      <c r="C8" s="1">
        <v>37</v>
      </c>
      <c r="D8" s="1">
        <v>41</v>
      </c>
      <c r="E8" s="1">
        <v>34</v>
      </c>
      <c r="F8" s="1">
        <f t="shared" si="4"/>
        <v>7.5</v>
      </c>
      <c r="G8" s="1">
        <f t="shared" si="5"/>
        <v>10.5</v>
      </c>
      <c r="H8" s="1">
        <f t="shared" si="6"/>
        <v>8</v>
      </c>
      <c r="I8" s="1">
        <v>15</v>
      </c>
      <c r="J8" s="1">
        <v>21</v>
      </c>
      <c r="K8" s="1">
        <v>16</v>
      </c>
    </row>
    <row r="9" spans="1:12" x14ac:dyDescent="0.2">
      <c r="A9" s="1"/>
      <c r="B9" s="1">
        <v>2</v>
      </c>
      <c r="C9" s="1">
        <v>57</v>
      </c>
      <c r="D9" s="1">
        <v>46</v>
      </c>
      <c r="E9" s="1">
        <v>43</v>
      </c>
      <c r="F9" s="1">
        <f t="shared" si="4"/>
        <v>7.5</v>
      </c>
      <c r="G9" s="1">
        <f t="shared" si="5"/>
        <v>15.5</v>
      </c>
      <c r="H9" s="1">
        <f t="shared" si="6"/>
        <v>8</v>
      </c>
      <c r="I9" s="1">
        <v>15</v>
      </c>
      <c r="J9" s="1">
        <v>31</v>
      </c>
      <c r="K9" s="1">
        <v>16</v>
      </c>
    </row>
    <row r="10" spans="1:12" x14ac:dyDescent="0.2">
      <c r="A10" s="1"/>
      <c r="B10" s="1">
        <v>3</v>
      </c>
      <c r="C10" s="1">
        <v>58</v>
      </c>
      <c r="D10" s="1">
        <v>57</v>
      </c>
      <c r="E10" s="1">
        <v>55</v>
      </c>
      <c r="F10" s="1">
        <f t="shared" si="4"/>
        <v>17</v>
      </c>
      <c r="G10" s="1">
        <f t="shared" si="5"/>
        <v>20</v>
      </c>
      <c r="H10" s="1">
        <f t="shared" si="6"/>
        <v>21</v>
      </c>
      <c r="I10" s="1">
        <v>34</v>
      </c>
      <c r="J10" s="1">
        <v>40</v>
      </c>
      <c r="K10" s="1">
        <v>42</v>
      </c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C824-1880-9447-8AA2-0D5600926537}">
  <dimension ref="A1:L10"/>
  <sheetViews>
    <sheetView tabSelected="1" zoomScale="140" zoomScaleNormal="140" workbookViewId="0">
      <selection activeCell="F4" sqref="F4"/>
    </sheetView>
  </sheetViews>
  <sheetFormatPr baseColWidth="10" defaultRowHeight="16" x14ac:dyDescent="0.2"/>
  <sheetData>
    <row r="1" spans="1:12" x14ac:dyDescent="0.2">
      <c r="A1" t="s">
        <v>0</v>
      </c>
      <c r="B1" t="s">
        <v>3</v>
      </c>
      <c r="C1" s="2" t="s">
        <v>2</v>
      </c>
      <c r="D1" s="2"/>
      <c r="E1" s="2"/>
      <c r="F1" s="2" t="s">
        <v>4</v>
      </c>
      <c r="G1" s="2"/>
      <c r="H1" s="2"/>
      <c r="I1" s="2" t="s">
        <v>5</v>
      </c>
      <c r="J1" s="2"/>
      <c r="K1" s="2"/>
      <c r="L1" t="s">
        <v>6</v>
      </c>
    </row>
    <row r="2" spans="1:12" x14ac:dyDescent="0.2">
      <c r="A2" s="1" t="s">
        <v>1</v>
      </c>
      <c r="B2" s="1">
        <v>1</v>
      </c>
      <c r="C2" s="1">
        <v>37</v>
      </c>
      <c r="D2" s="1">
        <v>40</v>
      </c>
      <c r="E2" s="1">
        <v>44</v>
      </c>
      <c r="F2" s="1">
        <f>I2/2</f>
        <v>9</v>
      </c>
      <c r="G2" s="1">
        <f t="shared" ref="G2:H2" si="0">J2/2</f>
        <v>7.5</v>
      </c>
      <c r="H2" s="1">
        <f t="shared" si="0"/>
        <v>14</v>
      </c>
      <c r="I2" s="1">
        <v>18</v>
      </c>
      <c r="J2" s="1">
        <v>15</v>
      </c>
      <c r="K2" s="1">
        <v>28</v>
      </c>
      <c r="L2" s="1" t="s">
        <v>9</v>
      </c>
    </row>
    <row r="3" spans="1:12" x14ac:dyDescent="0.2">
      <c r="A3" s="1"/>
      <c r="B3" s="1">
        <v>2</v>
      </c>
      <c r="C3" s="1">
        <v>144</v>
      </c>
      <c r="D3" s="1">
        <v>159</v>
      </c>
      <c r="E3" s="1">
        <v>168</v>
      </c>
      <c r="F3" s="1">
        <f t="shared" ref="F3:F4" si="1">I3/2</f>
        <v>43.5</v>
      </c>
      <c r="G3" s="1">
        <f t="shared" ref="G3:G5" si="2">J3/2</f>
        <v>55</v>
      </c>
      <c r="H3" s="1">
        <f t="shared" ref="H3:H5" si="3">K3/2</f>
        <v>47</v>
      </c>
      <c r="I3" s="1">
        <v>87</v>
      </c>
      <c r="J3" s="1">
        <v>110</v>
      </c>
      <c r="K3" s="1">
        <v>94</v>
      </c>
      <c r="L3" s="1" t="s">
        <v>11</v>
      </c>
    </row>
    <row r="4" spans="1:12" x14ac:dyDescent="0.2">
      <c r="A4" s="1"/>
      <c r="B4" s="1">
        <v>3</v>
      </c>
      <c r="C4" s="1">
        <v>67</v>
      </c>
      <c r="D4" s="1">
        <v>60</v>
      </c>
      <c r="E4" s="1">
        <v>56</v>
      </c>
      <c r="F4" s="1">
        <f t="shared" si="1"/>
        <v>29</v>
      </c>
      <c r="G4" s="1">
        <f t="shared" si="2"/>
        <v>20</v>
      </c>
      <c r="H4" s="1">
        <f t="shared" si="3"/>
        <v>15.5</v>
      </c>
      <c r="I4" s="1">
        <v>58</v>
      </c>
      <c r="J4" s="1">
        <v>40</v>
      </c>
      <c r="K4" s="1">
        <v>31</v>
      </c>
    </row>
    <row r="5" spans="1:12" x14ac:dyDescent="0.2">
      <c r="A5" t="s">
        <v>7</v>
      </c>
      <c r="B5">
        <v>1</v>
      </c>
      <c r="C5" s="3">
        <v>92</v>
      </c>
      <c r="D5" s="3">
        <v>84</v>
      </c>
      <c r="E5" s="3">
        <v>78</v>
      </c>
      <c r="F5" s="3">
        <f>I5/2</f>
        <v>2</v>
      </c>
      <c r="G5" s="3">
        <f t="shared" si="2"/>
        <v>0</v>
      </c>
      <c r="H5" s="3">
        <f t="shared" si="3"/>
        <v>0</v>
      </c>
      <c r="I5" s="3">
        <v>4</v>
      </c>
      <c r="J5" s="3">
        <v>0</v>
      </c>
      <c r="K5" s="3">
        <v>0</v>
      </c>
      <c r="L5" t="s">
        <v>9</v>
      </c>
    </row>
    <row r="6" spans="1:12" x14ac:dyDescent="0.2">
      <c r="B6">
        <v>2</v>
      </c>
      <c r="C6" s="3">
        <v>65</v>
      </c>
      <c r="D6" s="3">
        <v>53</v>
      </c>
      <c r="E6" s="3">
        <v>70</v>
      </c>
      <c r="F6" s="3">
        <f t="shared" ref="F6:F10" si="4">I6/2</f>
        <v>5</v>
      </c>
      <c r="G6" s="3">
        <f t="shared" ref="G6:G10" si="5">J6/2</f>
        <v>3</v>
      </c>
      <c r="H6" s="3">
        <f t="shared" ref="H6:H10" si="6">K6/2</f>
        <v>1.5</v>
      </c>
      <c r="I6" s="3">
        <v>10</v>
      </c>
      <c r="J6" s="3">
        <v>6</v>
      </c>
      <c r="K6" s="3">
        <v>3</v>
      </c>
      <c r="L6" t="s">
        <v>11</v>
      </c>
    </row>
    <row r="7" spans="1:12" x14ac:dyDescent="0.2">
      <c r="B7">
        <v>3</v>
      </c>
      <c r="C7" s="3">
        <v>64</v>
      </c>
      <c r="D7" s="3">
        <v>62</v>
      </c>
      <c r="E7" s="3">
        <v>79</v>
      </c>
      <c r="F7" s="3">
        <f t="shared" si="4"/>
        <v>12.5</v>
      </c>
      <c r="G7" s="3">
        <f t="shared" si="5"/>
        <v>6.5</v>
      </c>
      <c r="H7" s="3">
        <f t="shared" si="6"/>
        <v>2</v>
      </c>
      <c r="I7" s="3">
        <v>25</v>
      </c>
      <c r="J7" s="3">
        <v>13</v>
      </c>
      <c r="K7" s="3">
        <v>4</v>
      </c>
    </row>
    <row r="8" spans="1:12" x14ac:dyDescent="0.2">
      <c r="A8" s="1" t="s">
        <v>8</v>
      </c>
      <c r="B8" s="1">
        <v>1</v>
      </c>
      <c r="C8" s="1">
        <v>144</v>
      </c>
      <c r="D8" s="1">
        <v>97</v>
      </c>
      <c r="E8" s="1">
        <v>119</v>
      </c>
      <c r="F8" s="1">
        <f t="shared" si="4"/>
        <v>23</v>
      </c>
      <c r="G8" s="1">
        <f t="shared" si="5"/>
        <v>19</v>
      </c>
      <c r="H8" s="1">
        <f t="shared" si="6"/>
        <v>23.5</v>
      </c>
      <c r="I8" s="1">
        <v>46</v>
      </c>
      <c r="J8" s="1">
        <v>38</v>
      </c>
      <c r="K8" s="1">
        <v>47</v>
      </c>
      <c r="L8" t="s">
        <v>9</v>
      </c>
    </row>
    <row r="9" spans="1:12" x14ac:dyDescent="0.2">
      <c r="A9" s="1"/>
      <c r="B9" s="1">
        <v>2</v>
      </c>
      <c r="C9" s="1">
        <v>73</v>
      </c>
      <c r="D9" s="1">
        <v>110</v>
      </c>
      <c r="E9" s="1">
        <v>119</v>
      </c>
      <c r="F9" s="1">
        <f t="shared" si="4"/>
        <v>20.5</v>
      </c>
      <c r="G9" s="1">
        <f t="shared" si="5"/>
        <v>23.5</v>
      </c>
      <c r="H9" s="1">
        <f t="shared" si="6"/>
        <v>20</v>
      </c>
      <c r="I9" s="1">
        <v>41</v>
      </c>
      <c r="J9" s="1">
        <v>47</v>
      </c>
      <c r="K9" s="1">
        <v>40</v>
      </c>
      <c r="L9" t="s">
        <v>11</v>
      </c>
    </row>
    <row r="10" spans="1:12" x14ac:dyDescent="0.2">
      <c r="A10" s="1"/>
      <c r="B10" s="1">
        <v>3</v>
      </c>
      <c r="C10" s="1">
        <v>139</v>
      </c>
      <c r="D10" s="1">
        <v>132</v>
      </c>
      <c r="E10" s="1">
        <v>131</v>
      </c>
      <c r="F10" s="1">
        <f t="shared" si="4"/>
        <v>17</v>
      </c>
      <c r="G10" s="1">
        <f t="shared" si="5"/>
        <v>13</v>
      </c>
      <c r="H10" s="1">
        <f t="shared" si="6"/>
        <v>18.5</v>
      </c>
      <c r="I10" s="1">
        <v>34</v>
      </c>
      <c r="J10" s="1">
        <v>26</v>
      </c>
      <c r="K10" s="1">
        <v>37</v>
      </c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BBC7-4E8E-FA43-878C-B7F8DECDDA8F}">
  <dimension ref="A1:L10"/>
  <sheetViews>
    <sheetView zoomScale="160" zoomScaleNormal="160" workbookViewId="0">
      <selection sqref="A1:L10"/>
    </sheetView>
  </sheetViews>
  <sheetFormatPr baseColWidth="10" defaultRowHeight="16" x14ac:dyDescent="0.2"/>
  <sheetData>
    <row r="1" spans="1:12" x14ac:dyDescent="0.2">
      <c r="A1" t="s">
        <v>0</v>
      </c>
      <c r="B1" t="s">
        <v>3</v>
      </c>
      <c r="C1" s="2" t="s">
        <v>2</v>
      </c>
      <c r="D1" s="2"/>
      <c r="E1" s="2"/>
      <c r="F1" s="2" t="s">
        <v>4</v>
      </c>
      <c r="G1" s="2"/>
      <c r="H1" s="2"/>
      <c r="I1" s="2" t="s">
        <v>5</v>
      </c>
      <c r="J1" s="2"/>
      <c r="K1" s="2"/>
      <c r="L1" t="s">
        <v>6</v>
      </c>
    </row>
    <row r="2" spans="1:12" x14ac:dyDescent="0.2">
      <c r="A2" s="1" t="s">
        <v>1</v>
      </c>
      <c r="B2" s="1">
        <v>1</v>
      </c>
      <c r="C2" s="1">
        <v>66</v>
      </c>
      <c r="D2" s="1">
        <v>57</v>
      </c>
      <c r="E2" s="1">
        <v>67</v>
      </c>
      <c r="F2" s="1">
        <f>I2/2</f>
        <v>25</v>
      </c>
      <c r="G2" s="1">
        <f t="shared" ref="G2:H2" si="0">J2/2</f>
        <v>25.5</v>
      </c>
      <c r="H2" s="1">
        <f t="shared" si="0"/>
        <v>32.5</v>
      </c>
      <c r="I2" s="1">
        <v>50</v>
      </c>
      <c r="J2" s="1">
        <v>51</v>
      </c>
      <c r="K2" s="1">
        <v>65</v>
      </c>
      <c r="L2" s="1" t="s">
        <v>15</v>
      </c>
    </row>
    <row r="3" spans="1:12" x14ac:dyDescent="0.2">
      <c r="A3" s="1"/>
      <c r="B3" s="1">
        <v>2</v>
      </c>
      <c r="C3" s="1">
        <v>33</v>
      </c>
      <c r="D3" s="1">
        <v>47</v>
      </c>
      <c r="E3" s="1">
        <v>47</v>
      </c>
      <c r="F3" s="1">
        <f t="shared" ref="F3:F4" si="1">I3/2</f>
        <v>17</v>
      </c>
      <c r="G3" s="1">
        <f t="shared" ref="G3:G5" si="2">J3/2</f>
        <v>20</v>
      </c>
      <c r="H3" s="1">
        <f t="shared" ref="H3:H5" si="3">K3/2</f>
        <v>17.5</v>
      </c>
      <c r="I3" s="1">
        <v>34</v>
      </c>
      <c r="J3" s="1">
        <v>40</v>
      </c>
      <c r="K3" s="1">
        <v>35</v>
      </c>
      <c r="L3" s="1" t="s">
        <v>10</v>
      </c>
    </row>
    <row r="4" spans="1:12" x14ac:dyDescent="0.2">
      <c r="A4" s="1"/>
      <c r="B4" s="1">
        <v>3</v>
      </c>
      <c r="C4" s="1">
        <v>40</v>
      </c>
      <c r="D4" s="1">
        <v>38</v>
      </c>
      <c r="E4" s="1">
        <v>38</v>
      </c>
      <c r="F4" s="1">
        <f t="shared" si="1"/>
        <v>14.5</v>
      </c>
      <c r="G4" s="1">
        <f t="shared" si="2"/>
        <v>12.5</v>
      </c>
      <c r="H4" s="1">
        <f t="shared" si="3"/>
        <v>12</v>
      </c>
      <c r="I4" s="1">
        <v>29</v>
      </c>
      <c r="J4" s="1">
        <v>25</v>
      </c>
      <c r="K4" s="1">
        <v>24</v>
      </c>
    </row>
    <row r="5" spans="1:12" x14ac:dyDescent="0.2">
      <c r="A5" t="s">
        <v>7</v>
      </c>
      <c r="B5">
        <v>1</v>
      </c>
      <c r="C5">
        <v>28</v>
      </c>
      <c r="D5">
        <v>40</v>
      </c>
      <c r="E5">
        <v>28</v>
      </c>
      <c r="F5">
        <f>I5/2</f>
        <v>0</v>
      </c>
      <c r="G5">
        <f t="shared" si="2"/>
        <v>0</v>
      </c>
      <c r="H5">
        <f t="shared" si="3"/>
        <v>0</v>
      </c>
      <c r="I5">
        <v>0</v>
      </c>
      <c r="J5">
        <v>0</v>
      </c>
      <c r="K5">
        <v>0</v>
      </c>
      <c r="L5" t="s">
        <v>9</v>
      </c>
    </row>
    <row r="6" spans="1:12" x14ac:dyDescent="0.2">
      <c r="B6">
        <v>2</v>
      </c>
      <c r="C6">
        <v>47</v>
      </c>
      <c r="D6">
        <v>57</v>
      </c>
      <c r="E6">
        <v>47</v>
      </c>
      <c r="F6">
        <f t="shared" ref="F6:F7" si="4">I6/2</f>
        <v>0</v>
      </c>
      <c r="G6">
        <f t="shared" ref="G6:G7" si="5">J6/2</f>
        <v>0</v>
      </c>
      <c r="H6">
        <f t="shared" ref="H6:H7" si="6">K6/2</f>
        <v>1</v>
      </c>
      <c r="I6">
        <v>0</v>
      </c>
      <c r="J6">
        <v>0</v>
      </c>
      <c r="K6">
        <v>2</v>
      </c>
      <c r="L6" t="s">
        <v>11</v>
      </c>
    </row>
    <row r="7" spans="1:12" x14ac:dyDescent="0.2">
      <c r="B7">
        <v>3</v>
      </c>
      <c r="C7">
        <v>87</v>
      </c>
      <c r="D7">
        <v>80</v>
      </c>
      <c r="E7">
        <v>87</v>
      </c>
      <c r="F7">
        <f t="shared" si="4"/>
        <v>0.5</v>
      </c>
      <c r="G7">
        <f t="shared" si="5"/>
        <v>0</v>
      </c>
      <c r="H7">
        <f t="shared" si="6"/>
        <v>1.5</v>
      </c>
      <c r="I7">
        <v>1</v>
      </c>
      <c r="J7">
        <v>0</v>
      </c>
      <c r="K7">
        <v>3</v>
      </c>
    </row>
    <row r="8" spans="1:12" x14ac:dyDescent="0.2">
      <c r="A8" s="1" t="s">
        <v>8</v>
      </c>
      <c r="B8" s="1">
        <v>1</v>
      </c>
      <c r="C8" s="1">
        <v>92</v>
      </c>
      <c r="D8" s="1">
        <v>100</v>
      </c>
      <c r="E8" s="1">
        <v>104</v>
      </c>
      <c r="F8" s="1">
        <f>I8/5</f>
        <v>7.6</v>
      </c>
      <c r="G8" s="1">
        <f t="shared" ref="G8:H8" si="7">J8/5</f>
        <v>6.6</v>
      </c>
      <c r="H8" s="1">
        <f t="shared" si="7"/>
        <v>8.8000000000000007</v>
      </c>
      <c r="I8" s="1">
        <v>38</v>
      </c>
      <c r="J8" s="1">
        <v>33</v>
      </c>
      <c r="K8" s="1">
        <v>44</v>
      </c>
      <c r="L8" s="1" t="s">
        <v>16</v>
      </c>
    </row>
    <row r="9" spans="1:12" x14ac:dyDescent="0.2">
      <c r="A9" s="1"/>
      <c r="B9" s="1">
        <v>2</v>
      </c>
      <c r="C9" s="1">
        <v>37</v>
      </c>
      <c r="D9" s="1">
        <v>41</v>
      </c>
      <c r="E9" s="1">
        <v>43</v>
      </c>
      <c r="F9" s="1">
        <f t="shared" ref="F9:F10" si="8">I9/5</f>
        <v>2.8</v>
      </c>
      <c r="G9" s="1">
        <f t="shared" ref="G9:G10" si="9">J9/5</f>
        <v>3.4</v>
      </c>
      <c r="H9" s="1">
        <f t="shared" ref="H9:H10" si="10">K9/5</f>
        <v>3.2</v>
      </c>
      <c r="I9" s="1">
        <v>14</v>
      </c>
      <c r="J9" s="1">
        <v>17</v>
      </c>
      <c r="K9" s="1">
        <v>16</v>
      </c>
      <c r="L9" s="1" t="s">
        <v>17</v>
      </c>
    </row>
    <row r="10" spans="1:12" x14ac:dyDescent="0.2">
      <c r="A10" s="1"/>
      <c r="B10" s="1">
        <v>3</v>
      </c>
      <c r="C10" s="1">
        <v>12</v>
      </c>
      <c r="D10" s="1">
        <v>18</v>
      </c>
      <c r="E10" s="1">
        <v>14</v>
      </c>
      <c r="F10" s="1">
        <f t="shared" si="8"/>
        <v>0.4</v>
      </c>
      <c r="G10" s="1">
        <f t="shared" si="9"/>
        <v>1</v>
      </c>
      <c r="H10" s="1">
        <f t="shared" si="10"/>
        <v>0.4</v>
      </c>
      <c r="I10" s="1">
        <v>2</v>
      </c>
      <c r="J10" s="1">
        <v>5</v>
      </c>
      <c r="K10" s="1">
        <v>2</v>
      </c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2E6A-D8A8-6C4E-A269-57AC707CEAA2}">
  <dimension ref="A1:L10"/>
  <sheetViews>
    <sheetView zoomScale="140" zoomScaleNormal="140" workbookViewId="0">
      <selection activeCell="G9" sqref="G9"/>
    </sheetView>
  </sheetViews>
  <sheetFormatPr baseColWidth="10" defaultRowHeight="16" x14ac:dyDescent="0.2"/>
  <sheetData>
    <row r="1" spans="1:12" x14ac:dyDescent="0.2">
      <c r="A1" t="s">
        <v>0</v>
      </c>
      <c r="B1" t="s">
        <v>3</v>
      </c>
      <c r="C1" s="2" t="s">
        <v>2</v>
      </c>
      <c r="D1" s="2"/>
      <c r="E1" s="2"/>
      <c r="F1" s="2" t="s">
        <v>4</v>
      </c>
      <c r="G1" s="2"/>
      <c r="H1" s="2"/>
      <c r="I1" s="2" t="s">
        <v>5</v>
      </c>
      <c r="J1" s="2"/>
      <c r="K1" s="2"/>
      <c r="L1" t="s">
        <v>6</v>
      </c>
    </row>
    <row r="2" spans="1:12" x14ac:dyDescent="0.2">
      <c r="A2" s="1" t="s">
        <v>1</v>
      </c>
      <c r="B2" s="1">
        <v>1</v>
      </c>
      <c r="C2" s="1">
        <v>39</v>
      </c>
      <c r="D2" s="1">
        <v>19</v>
      </c>
      <c r="E2" s="1">
        <v>26</v>
      </c>
      <c r="F2" s="1">
        <f>I2/2</f>
        <v>18</v>
      </c>
      <c r="G2" s="1">
        <f>J2/2</f>
        <v>9</v>
      </c>
      <c r="H2" s="1"/>
      <c r="I2" s="1">
        <v>36</v>
      </c>
      <c r="J2" s="1">
        <v>18</v>
      </c>
      <c r="K2" s="1"/>
      <c r="L2" s="1" t="s">
        <v>9</v>
      </c>
    </row>
    <row r="3" spans="1:12" x14ac:dyDescent="0.2">
      <c r="A3" s="1"/>
      <c r="B3" s="1">
        <v>2</v>
      </c>
      <c r="C3" s="1">
        <v>80</v>
      </c>
      <c r="D3" s="1">
        <v>82</v>
      </c>
      <c r="E3" s="1">
        <v>84</v>
      </c>
      <c r="F3" s="1">
        <f t="shared" ref="F3:F4" si="0">I3/2</f>
        <v>31</v>
      </c>
      <c r="G3" s="1">
        <f t="shared" ref="G3:G5" si="1">J3/2</f>
        <v>26</v>
      </c>
      <c r="H3" s="1"/>
      <c r="I3" s="1">
        <v>62</v>
      </c>
      <c r="J3" s="1">
        <v>52</v>
      </c>
      <c r="K3" s="1"/>
      <c r="L3" s="1" t="s">
        <v>18</v>
      </c>
    </row>
    <row r="4" spans="1:12" x14ac:dyDescent="0.2">
      <c r="A4" s="1"/>
      <c r="B4" s="1">
        <v>3</v>
      </c>
      <c r="C4" s="1">
        <v>12</v>
      </c>
      <c r="D4" s="1">
        <v>7</v>
      </c>
      <c r="E4" s="1">
        <v>11</v>
      </c>
      <c r="F4" s="1">
        <f t="shared" si="0"/>
        <v>3.5</v>
      </c>
      <c r="G4" s="1">
        <f t="shared" si="1"/>
        <v>6</v>
      </c>
      <c r="H4" s="1"/>
      <c r="I4" s="1">
        <v>7</v>
      </c>
      <c r="J4" s="1">
        <v>12</v>
      </c>
      <c r="K4" s="1"/>
    </row>
    <row r="5" spans="1:12" x14ac:dyDescent="0.2">
      <c r="A5" t="s">
        <v>7</v>
      </c>
      <c r="B5">
        <v>1</v>
      </c>
      <c r="C5" s="1">
        <v>62</v>
      </c>
      <c r="D5" s="1">
        <v>83</v>
      </c>
      <c r="E5" s="1">
        <v>82</v>
      </c>
      <c r="F5">
        <f>I5/2</f>
        <v>10</v>
      </c>
      <c r="G5">
        <f t="shared" si="1"/>
        <v>10.5</v>
      </c>
      <c r="H5">
        <f t="shared" ref="H5" si="2">K5/2</f>
        <v>10.5</v>
      </c>
      <c r="I5" s="1">
        <v>20</v>
      </c>
      <c r="J5" s="1">
        <v>21</v>
      </c>
      <c r="K5" s="1">
        <v>21</v>
      </c>
      <c r="L5" t="s">
        <v>9</v>
      </c>
    </row>
    <row r="6" spans="1:12" x14ac:dyDescent="0.2">
      <c r="B6">
        <v>2</v>
      </c>
      <c r="C6" s="1">
        <v>58</v>
      </c>
      <c r="D6" s="1">
        <v>50</v>
      </c>
      <c r="E6" s="1">
        <v>80</v>
      </c>
      <c r="F6">
        <f t="shared" ref="F6:F7" si="3">I6/2</f>
        <v>9.5</v>
      </c>
      <c r="G6">
        <f t="shared" ref="G6:G8" si="4">J6/2</f>
        <v>9</v>
      </c>
      <c r="H6">
        <f t="shared" ref="H6:H8" si="5">K6/2</f>
        <v>10</v>
      </c>
      <c r="I6" s="1">
        <v>19</v>
      </c>
      <c r="J6" s="1">
        <v>18</v>
      </c>
      <c r="K6" s="1">
        <v>20</v>
      </c>
      <c r="L6" t="s">
        <v>11</v>
      </c>
    </row>
    <row r="7" spans="1:12" x14ac:dyDescent="0.2">
      <c r="B7">
        <v>3</v>
      </c>
      <c r="C7" s="1">
        <v>45</v>
      </c>
      <c r="D7" s="1">
        <v>48</v>
      </c>
      <c r="E7" s="1">
        <v>41</v>
      </c>
      <c r="F7">
        <f t="shared" si="3"/>
        <v>7.5</v>
      </c>
      <c r="G7">
        <f t="shared" si="4"/>
        <v>7</v>
      </c>
      <c r="H7">
        <f t="shared" si="5"/>
        <v>5</v>
      </c>
      <c r="I7" s="1">
        <v>15</v>
      </c>
      <c r="J7" s="1">
        <v>14</v>
      </c>
      <c r="K7" s="1">
        <v>10</v>
      </c>
    </row>
    <row r="8" spans="1:12" x14ac:dyDescent="0.2">
      <c r="A8" s="1" t="s">
        <v>8</v>
      </c>
      <c r="B8" s="1">
        <v>1</v>
      </c>
      <c r="C8" s="1">
        <v>53</v>
      </c>
      <c r="D8" s="1">
        <v>34</v>
      </c>
      <c r="E8" s="1">
        <v>40</v>
      </c>
      <c r="F8" s="1">
        <f>I8/2</f>
        <v>3.5</v>
      </c>
      <c r="G8" s="1">
        <f t="shared" si="4"/>
        <v>2</v>
      </c>
      <c r="H8" s="1">
        <f t="shared" si="5"/>
        <v>2.5</v>
      </c>
      <c r="I8" s="1">
        <v>7</v>
      </c>
      <c r="J8" s="1">
        <v>4</v>
      </c>
      <c r="K8" s="1">
        <v>5</v>
      </c>
      <c r="L8" s="1" t="s">
        <v>16</v>
      </c>
    </row>
    <row r="9" spans="1:12" x14ac:dyDescent="0.2">
      <c r="A9" s="1"/>
      <c r="B9" s="1">
        <v>2</v>
      </c>
      <c r="C9" s="1">
        <v>34</v>
      </c>
      <c r="D9" s="1">
        <v>37</v>
      </c>
      <c r="E9" s="1">
        <v>37</v>
      </c>
      <c r="F9" s="1">
        <f t="shared" ref="F9:F10" si="6">I9/2</f>
        <v>3.5</v>
      </c>
      <c r="G9" s="1">
        <f t="shared" ref="G9:G10" si="7">J9/2</f>
        <v>2</v>
      </c>
      <c r="H9" s="1">
        <f t="shared" ref="H9:H10" si="8">K9/2</f>
        <v>2.5</v>
      </c>
      <c r="I9" s="1">
        <v>7</v>
      </c>
      <c r="J9" s="1">
        <v>4</v>
      </c>
      <c r="K9" s="1">
        <v>5</v>
      </c>
      <c r="L9" s="1" t="s">
        <v>17</v>
      </c>
    </row>
    <row r="10" spans="1:12" x14ac:dyDescent="0.2">
      <c r="A10" s="1"/>
      <c r="B10" s="1">
        <v>3</v>
      </c>
      <c r="C10" s="1">
        <v>54</v>
      </c>
      <c r="D10" s="1">
        <v>52</v>
      </c>
      <c r="E10" s="1">
        <v>52</v>
      </c>
      <c r="F10" s="1">
        <f t="shared" si="6"/>
        <v>5.5</v>
      </c>
      <c r="G10" s="1">
        <f t="shared" si="7"/>
        <v>2.5</v>
      </c>
      <c r="H10" s="1">
        <f t="shared" si="8"/>
        <v>2</v>
      </c>
      <c r="I10" s="1">
        <v>11</v>
      </c>
      <c r="J10" s="1">
        <v>5</v>
      </c>
      <c r="K10" s="1">
        <v>4</v>
      </c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Day0</vt:lpstr>
      <vt:lpstr>Day2</vt:lpstr>
      <vt:lpstr>Day5</vt:lpstr>
      <vt:lpstr>Day8</vt:lpstr>
      <vt:lpstr>Day10</vt:lpstr>
      <vt:lpstr>Day15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Zhengqing John Zhou</dc:creator>
  <cp:lastModifiedBy>Zhengqing John Zhou</cp:lastModifiedBy>
  <dcterms:created xsi:type="dcterms:W3CDTF">2026-03-26T15:20:47Z</dcterms:created>
  <dcterms:modified xsi:type="dcterms:W3CDTF">2026-04-11T14:28:11Z</dcterms:modified>
</cp:coreProperties>
</file>