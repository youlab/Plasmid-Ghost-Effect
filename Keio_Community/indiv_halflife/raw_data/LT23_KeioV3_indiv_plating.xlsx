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hnkingzhou/Library/CloudStorage/Dropbox/Ghost effect/Experimental/LT23&amp;24 Keio indiv GE/"/>
    </mc:Choice>
  </mc:AlternateContent>
  <xr:revisionPtr revIDLastSave="0" documentId="13_ncr:1_{59A39393-0C55-0C48-ACA5-719F4F8A8E3D}" xr6:coauthVersionLast="47" xr6:coauthVersionMax="47" xr10:uidLastSave="{00000000-0000-0000-0000-000000000000}"/>
  <bookViews>
    <workbookView xWindow="0" yWindow="600" windowWidth="25600" windowHeight="14280" activeTab="2" xr2:uid="{E42DBC6F-C817-EB4F-BD27-70423367A304}"/>
  </bookViews>
  <sheets>
    <sheet name="Day0" sheetId="1" r:id="rId1"/>
    <sheet name="Day3" sheetId="14" r:id="rId2"/>
    <sheet name="Day6" sheetId="15" r:id="rId3"/>
    <sheet name="Day9" sheetId="16" r:id="rId4"/>
    <sheet name="Day14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5" l="1"/>
  <c r="H19" i="15"/>
  <c r="I19" i="15"/>
  <c r="H18" i="15"/>
  <c r="I18" i="15"/>
  <c r="G18" i="15"/>
  <c r="G9" i="15"/>
  <c r="H9" i="15"/>
  <c r="I9" i="15"/>
  <c r="G10" i="15"/>
  <c r="H10" i="15"/>
  <c r="I10" i="15"/>
  <c r="H8" i="15"/>
  <c r="I8" i="15"/>
  <c r="G8" i="15"/>
  <c r="G18" i="17"/>
  <c r="H18" i="17"/>
  <c r="I18" i="17"/>
  <c r="G19" i="17"/>
  <c r="H19" i="17"/>
  <c r="I19" i="17"/>
  <c r="H17" i="17"/>
  <c r="I17" i="17"/>
  <c r="G17" i="17"/>
  <c r="G15" i="17"/>
  <c r="H15" i="17"/>
  <c r="I15" i="17"/>
  <c r="G16" i="17"/>
  <c r="H16" i="17"/>
  <c r="I16" i="17"/>
  <c r="H14" i="17"/>
  <c r="I14" i="17"/>
  <c r="G14" i="17"/>
  <c r="G6" i="17"/>
  <c r="H6" i="17"/>
  <c r="I6" i="17"/>
  <c r="G7" i="17"/>
  <c r="H7" i="17"/>
  <c r="I7" i="17"/>
  <c r="H5" i="17"/>
  <c r="I5" i="17"/>
  <c r="G5" i="17"/>
  <c r="G9" i="17"/>
  <c r="H9" i="17"/>
  <c r="I9" i="17"/>
  <c r="G10" i="17"/>
  <c r="H10" i="17"/>
  <c r="I10" i="17"/>
  <c r="H8" i="17"/>
  <c r="I8" i="17"/>
  <c r="G8" i="17"/>
  <c r="G18" i="16"/>
  <c r="H18" i="16"/>
  <c r="I18" i="16"/>
  <c r="G19" i="16"/>
  <c r="H19" i="16"/>
  <c r="I19" i="16"/>
  <c r="H17" i="16"/>
  <c r="I17" i="16"/>
  <c r="G17" i="16"/>
  <c r="G9" i="16"/>
  <c r="H9" i="16"/>
  <c r="I9" i="16"/>
  <c r="G10" i="16"/>
  <c r="H10" i="16"/>
  <c r="I10" i="16"/>
  <c r="H8" i="16"/>
  <c r="I8" i="16"/>
  <c r="G8" i="16"/>
  <c r="G6" i="16"/>
  <c r="H6" i="16"/>
  <c r="I6" i="16"/>
  <c r="G7" i="16"/>
  <c r="H7" i="16"/>
  <c r="I7" i="16"/>
  <c r="H5" i="16"/>
  <c r="I5" i="16"/>
  <c r="G5" i="16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G9" i="1"/>
  <c r="H9" i="1"/>
  <c r="I9" i="1"/>
  <c r="G10" i="1"/>
  <c r="H10" i="1"/>
  <c r="I10" i="1"/>
  <c r="H8" i="1"/>
  <c r="I8" i="1"/>
  <c r="G8" i="1"/>
  <c r="G6" i="1"/>
  <c r="H6" i="1"/>
  <c r="I6" i="1"/>
  <c r="G7" i="1"/>
  <c r="H7" i="1"/>
  <c r="I7" i="1"/>
  <c r="H5" i="1"/>
  <c r="I5" i="1"/>
  <c r="G5" i="1"/>
  <c r="G3" i="1"/>
  <c r="H3" i="1"/>
  <c r="I3" i="1"/>
  <c r="G4" i="1"/>
  <c r="H4" i="1"/>
  <c r="I4" i="1"/>
  <c r="H2" i="1"/>
  <c r="I2" i="1"/>
  <c r="G2" i="1"/>
</calcChain>
</file>

<file path=xl/sharedStrings.xml><?xml version="1.0" encoding="utf-8"?>
<sst xmlns="http://schemas.openxmlformats.org/spreadsheetml/2006/main" count="62" uniqueCount="17">
  <si>
    <t>LB</t>
  </si>
  <si>
    <t>Plasmid</t>
  </si>
  <si>
    <t>Bioloigcal Reps</t>
    <phoneticPr fontId="1" type="noConversion"/>
  </si>
  <si>
    <t>in Comm57</t>
  </si>
  <si>
    <t>#3+pCU1</t>
  </si>
  <si>
    <t>#4+R6K</t>
  </si>
  <si>
    <t>Raw</t>
  </si>
  <si>
    <t>LB: 2e6</t>
  </si>
  <si>
    <t>Plasmid: 2e6</t>
  </si>
  <si>
    <t>LB: 1e6</t>
  </si>
  <si>
    <t>Plasmid: 2e5</t>
  </si>
  <si>
    <t>Dilution rates</t>
  </si>
  <si>
    <t>Plasmid: 1e6</t>
  </si>
  <si>
    <t>Plasmid: 1e5</t>
  </si>
  <si>
    <t>Carb: 1e6</t>
  </si>
  <si>
    <t>Rep1: LB: 1e6; Strp: 1e6</t>
  </si>
  <si>
    <t>Rep2&amp;3: LB: 2e6; Strp: 1e6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</si>
</sst>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rgb="FF000000"/>
      <name val="Calibri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/>
    <xf numFmtId="164" fontId="2" fillId="0" borderId="0" xfId="0" applyNumberFormat="1" applyFont="1" applyAlignment="1"/>
    <xf numFmtId="9" fontId="2" fillId="0" borderId="0" xfId="0" applyNumberFormat="1" applyFont="1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BA1-D46A-5B44-A82C-3616BDBE9759}">
  <dimension ref="A1:AJ46"/>
  <sheetViews>
    <sheetView zoomScale="125" workbookViewId="0">
      <selection activeCell="C12" sqref="A1:I19"/>
    </sheetView>
  </sheetViews>
  <sheetFormatPr baseColWidth="10" defaultColWidth="11" defaultRowHeight="16" x14ac:dyDescent="0.2"/>
  <sheetData>
    <row r="1" spans="1:36" x14ac:dyDescent="0.2">
      <c r="A1" s="1" t="s">
        <v>3</v>
      </c>
      <c r="B1" s="1"/>
      <c r="C1" s="1" t="s">
        <v>2</v>
      </c>
      <c r="D1" s="5" t="s">
        <v>0</v>
      </c>
      <c r="E1" s="5"/>
      <c r="F1" s="5"/>
      <c r="G1" s="5" t="s">
        <v>1</v>
      </c>
      <c r="H1" s="5"/>
      <c r="I1" s="5"/>
      <c r="J1" s="1"/>
      <c r="N1" s="1"/>
      <c r="O1" s="1"/>
      <c r="P1" s="1"/>
      <c r="Q1" s="5"/>
      <c r="R1" s="5"/>
      <c r="S1" s="5"/>
      <c r="T1" s="5"/>
      <c r="U1" s="5"/>
      <c r="V1" s="5"/>
      <c r="W1" s="1"/>
      <c r="AD1" s="4"/>
      <c r="AE1" s="4"/>
      <c r="AF1" s="4"/>
      <c r="AG1" s="4"/>
      <c r="AH1" s="4"/>
      <c r="AI1" s="4"/>
    </row>
    <row r="2" spans="1:36" x14ac:dyDescent="0.2">
      <c r="A2" s="1" t="s">
        <v>4</v>
      </c>
      <c r="B2" s="1">
        <v>100</v>
      </c>
      <c r="C2" s="1">
        <v>1</v>
      </c>
      <c r="D2" s="1">
        <v>100</v>
      </c>
      <c r="E2" s="1">
        <v>100</v>
      </c>
      <c r="F2" s="1">
        <v>100</v>
      </c>
      <c r="G2" s="1">
        <f>D2*$B$2/100</f>
        <v>100</v>
      </c>
      <c r="H2" s="1">
        <f t="shared" ref="H2:I2" si="0">E2*$B$2/100</f>
        <v>100</v>
      </c>
      <c r="I2" s="1">
        <f t="shared" si="0"/>
        <v>100</v>
      </c>
      <c r="J2" s="2"/>
      <c r="N2" s="1"/>
      <c r="O2" s="3"/>
      <c r="P2" s="1"/>
      <c r="Q2" s="1"/>
      <c r="R2" s="1"/>
      <c r="S2" s="1"/>
      <c r="T2" s="1"/>
      <c r="U2" s="1"/>
      <c r="V2" s="1"/>
      <c r="W2" s="2"/>
      <c r="AA2" s="1"/>
      <c r="AB2" s="3"/>
      <c r="AC2" s="1"/>
      <c r="AD2" s="1"/>
      <c r="AE2" s="1"/>
      <c r="AF2" s="1"/>
      <c r="AG2" s="1"/>
      <c r="AH2" s="1"/>
      <c r="AI2" s="1"/>
      <c r="AJ2" s="2"/>
    </row>
    <row r="3" spans="1:36" x14ac:dyDescent="0.2">
      <c r="A3" s="1"/>
      <c r="B3" s="1"/>
      <c r="C3" s="1">
        <v>2</v>
      </c>
      <c r="D3" s="1">
        <v>100</v>
      </c>
      <c r="E3" s="1">
        <v>100</v>
      </c>
      <c r="F3" s="1">
        <v>100</v>
      </c>
      <c r="G3" s="1">
        <f t="shared" ref="G3:G4" si="1">D3*$B$2/100</f>
        <v>100</v>
      </c>
      <c r="H3" s="1">
        <f t="shared" ref="H3:H4" si="2">E3*$B$2/100</f>
        <v>100</v>
      </c>
      <c r="I3" s="1">
        <f t="shared" ref="I3:I4" si="3">F3*$B$2/100</f>
        <v>100</v>
      </c>
      <c r="J3" s="2"/>
      <c r="N3" s="1"/>
      <c r="O3" s="1"/>
      <c r="P3" s="1"/>
      <c r="Q3" s="1"/>
      <c r="R3" s="1"/>
      <c r="S3" s="1"/>
      <c r="T3" s="1"/>
      <c r="U3" s="1"/>
      <c r="V3" s="1"/>
      <c r="W3" s="2"/>
      <c r="AA3" s="1"/>
      <c r="AB3" s="1"/>
      <c r="AC3" s="1"/>
      <c r="AD3" s="1"/>
      <c r="AE3" s="1"/>
      <c r="AF3" s="1"/>
      <c r="AG3" s="1"/>
      <c r="AH3" s="1"/>
      <c r="AI3" s="1"/>
      <c r="AJ3" s="2"/>
    </row>
    <row r="4" spans="1:36" x14ac:dyDescent="0.2">
      <c r="A4" s="1"/>
      <c r="B4" s="1"/>
      <c r="C4" s="1">
        <v>3</v>
      </c>
      <c r="D4" s="1">
        <v>100</v>
      </c>
      <c r="E4" s="1">
        <v>100</v>
      </c>
      <c r="F4" s="1">
        <v>100</v>
      </c>
      <c r="G4" s="1">
        <f t="shared" si="1"/>
        <v>100</v>
      </c>
      <c r="H4" s="1">
        <f t="shared" si="2"/>
        <v>100</v>
      </c>
      <c r="I4" s="1">
        <f t="shared" si="3"/>
        <v>100</v>
      </c>
      <c r="J4" s="2"/>
      <c r="N4" s="1"/>
      <c r="O4" s="1"/>
      <c r="P4" s="1"/>
      <c r="Q4" s="1"/>
      <c r="R4" s="1"/>
      <c r="S4" s="1"/>
      <c r="T4" s="1"/>
      <c r="U4" s="1"/>
      <c r="V4" s="1"/>
      <c r="W4" s="2"/>
      <c r="AA4" s="1"/>
      <c r="AB4" s="1"/>
      <c r="AC4" s="1"/>
      <c r="AD4" s="1"/>
      <c r="AE4" s="1"/>
      <c r="AF4" s="1"/>
      <c r="AG4" s="1"/>
      <c r="AH4" s="1"/>
      <c r="AI4" s="1"/>
      <c r="AJ4" s="2"/>
    </row>
    <row r="5" spans="1:36" x14ac:dyDescent="0.2">
      <c r="A5" s="1"/>
      <c r="B5" s="1">
        <v>90</v>
      </c>
      <c r="C5" s="1">
        <v>1</v>
      </c>
      <c r="D5" s="1">
        <v>100</v>
      </c>
      <c r="E5" s="1">
        <v>100</v>
      </c>
      <c r="F5" s="1">
        <v>100</v>
      </c>
      <c r="G5" s="1">
        <f t="shared" ref="G5:I7" si="4">D5*$B$5/100</f>
        <v>90</v>
      </c>
      <c r="H5" s="1">
        <f t="shared" si="4"/>
        <v>90</v>
      </c>
      <c r="I5" s="1">
        <f t="shared" si="4"/>
        <v>90</v>
      </c>
      <c r="J5" s="2"/>
      <c r="N5" s="1"/>
      <c r="O5" s="3"/>
      <c r="P5" s="1"/>
      <c r="Q5" s="1"/>
      <c r="R5" s="1"/>
      <c r="S5" s="1"/>
      <c r="T5" s="1"/>
      <c r="U5" s="1"/>
      <c r="V5" s="1"/>
      <c r="W5" s="2"/>
      <c r="AA5" s="1"/>
      <c r="AB5" s="3"/>
      <c r="AC5" s="1"/>
      <c r="AD5" s="1"/>
      <c r="AE5" s="1"/>
      <c r="AF5" s="1"/>
      <c r="AG5" s="1"/>
      <c r="AH5" s="1"/>
      <c r="AI5" s="1"/>
      <c r="AJ5" s="2"/>
    </row>
    <row r="6" spans="1:36" x14ac:dyDescent="0.2">
      <c r="A6" s="1"/>
      <c r="B6" s="1"/>
      <c r="C6" s="1">
        <v>2</v>
      </c>
      <c r="D6" s="1">
        <v>100</v>
      </c>
      <c r="E6" s="1">
        <v>100</v>
      </c>
      <c r="F6" s="1">
        <v>100</v>
      </c>
      <c r="G6" s="1">
        <f t="shared" si="4"/>
        <v>90</v>
      </c>
      <c r="H6" s="1">
        <f t="shared" si="4"/>
        <v>90</v>
      </c>
      <c r="I6" s="1">
        <f t="shared" si="4"/>
        <v>90</v>
      </c>
      <c r="J6" s="2"/>
      <c r="N6" s="1"/>
      <c r="O6" s="1"/>
      <c r="P6" s="1"/>
      <c r="R6" s="1"/>
      <c r="S6" s="1"/>
      <c r="U6" s="1"/>
      <c r="V6" s="1"/>
      <c r="W6" s="2"/>
      <c r="AA6" s="1"/>
      <c r="AB6" s="1"/>
      <c r="AC6" s="1"/>
      <c r="AD6" s="1"/>
      <c r="AE6" s="1"/>
      <c r="AF6" s="1"/>
      <c r="AG6" s="1"/>
      <c r="AH6" s="1"/>
      <c r="AI6" s="1"/>
      <c r="AJ6" s="2"/>
    </row>
    <row r="7" spans="1:36" x14ac:dyDescent="0.2">
      <c r="A7" s="1"/>
      <c r="B7" s="1"/>
      <c r="C7" s="1">
        <v>3</v>
      </c>
      <c r="D7" s="1">
        <v>100</v>
      </c>
      <c r="E7" s="1">
        <v>100</v>
      </c>
      <c r="F7" s="1">
        <v>100</v>
      </c>
      <c r="G7" s="1">
        <f t="shared" si="4"/>
        <v>90</v>
      </c>
      <c r="H7" s="1">
        <f t="shared" si="4"/>
        <v>90</v>
      </c>
      <c r="I7" s="1">
        <f t="shared" si="4"/>
        <v>90</v>
      </c>
      <c r="J7" s="2"/>
      <c r="N7" s="1"/>
      <c r="O7" s="1"/>
      <c r="P7" s="1"/>
      <c r="R7" s="1"/>
      <c r="S7" s="1"/>
      <c r="U7" s="1"/>
      <c r="V7" s="1"/>
      <c r="W7" s="2"/>
      <c r="AA7" s="1"/>
      <c r="AB7" s="1"/>
      <c r="AC7" s="1"/>
      <c r="AD7" s="1"/>
      <c r="AE7" s="1"/>
      <c r="AF7" s="1"/>
      <c r="AG7" s="1"/>
      <c r="AH7" s="1"/>
      <c r="AI7" s="1"/>
      <c r="AJ7" s="2"/>
    </row>
    <row r="8" spans="1:36" x14ac:dyDescent="0.2">
      <c r="A8" s="1"/>
      <c r="B8" s="1">
        <v>50</v>
      </c>
      <c r="C8" s="1">
        <v>1</v>
      </c>
      <c r="D8" s="1">
        <v>100</v>
      </c>
      <c r="E8" s="1">
        <v>100</v>
      </c>
      <c r="F8" s="1">
        <v>100</v>
      </c>
      <c r="G8" s="1">
        <f t="shared" ref="G8:I10" si="5">D8*$B$8/100</f>
        <v>50</v>
      </c>
      <c r="H8" s="1">
        <f t="shared" si="5"/>
        <v>50</v>
      </c>
      <c r="I8" s="1">
        <f t="shared" si="5"/>
        <v>50</v>
      </c>
      <c r="J8" s="2"/>
      <c r="N8" s="1"/>
      <c r="O8" s="3"/>
      <c r="P8" s="1"/>
      <c r="Q8" s="1"/>
      <c r="R8" s="1"/>
      <c r="S8" s="1"/>
      <c r="T8" s="1"/>
      <c r="U8" s="1"/>
      <c r="V8" s="1"/>
      <c r="W8" s="2"/>
      <c r="AA8" s="1"/>
      <c r="AB8" s="3"/>
      <c r="AC8" s="1"/>
      <c r="AD8" s="1"/>
      <c r="AE8" s="1"/>
      <c r="AF8" s="1"/>
      <c r="AG8" s="1"/>
      <c r="AH8" s="1"/>
      <c r="AI8" s="1"/>
      <c r="AJ8" s="2"/>
    </row>
    <row r="9" spans="1:36" x14ac:dyDescent="0.2">
      <c r="A9" s="1"/>
      <c r="B9" s="1"/>
      <c r="C9" s="1">
        <v>2</v>
      </c>
      <c r="D9" s="1">
        <v>100</v>
      </c>
      <c r="E9" s="1">
        <v>100</v>
      </c>
      <c r="F9" s="1">
        <v>100</v>
      </c>
      <c r="G9" s="1">
        <f t="shared" si="5"/>
        <v>50</v>
      </c>
      <c r="H9" s="1">
        <f t="shared" si="5"/>
        <v>50</v>
      </c>
      <c r="I9" s="1">
        <f t="shared" si="5"/>
        <v>50</v>
      </c>
      <c r="J9" s="2"/>
      <c r="N9" s="1"/>
      <c r="O9" s="1"/>
      <c r="P9" s="1"/>
      <c r="R9" s="1"/>
      <c r="S9" s="1"/>
      <c r="U9" s="1"/>
      <c r="V9" s="1"/>
      <c r="W9" s="2"/>
      <c r="AA9" s="1"/>
      <c r="AB9" s="1"/>
      <c r="AC9" s="1"/>
      <c r="AD9" s="1"/>
      <c r="AE9" s="1"/>
      <c r="AF9" s="1"/>
      <c r="AG9" s="1"/>
      <c r="AH9" s="1"/>
      <c r="AI9" s="1"/>
      <c r="AJ9" s="2"/>
    </row>
    <row r="10" spans="1:36" x14ac:dyDescent="0.2">
      <c r="A10" s="1"/>
      <c r="B10" s="1"/>
      <c r="C10" s="1">
        <v>3</v>
      </c>
      <c r="D10" s="1">
        <v>100</v>
      </c>
      <c r="E10" s="1">
        <v>100</v>
      </c>
      <c r="F10" s="1">
        <v>100</v>
      </c>
      <c r="G10" s="1">
        <f t="shared" si="5"/>
        <v>50</v>
      </c>
      <c r="H10" s="1">
        <f t="shared" si="5"/>
        <v>50</v>
      </c>
      <c r="I10" s="1">
        <f t="shared" si="5"/>
        <v>50</v>
      </c>
      <c r="J10" s="2"/>
      <c r="N10" s="1"/>
      <c r="O10" s="1"/>
      <c r="P10" s="1"/>
      <c r="R10" s="1"/>
      <c r="S10" s="1"/>
      <c r="U10" s="1"/>
      <c r="V10" s="1"/>
      <c r="W10" s="2"/>
      <c r="AA10" s="1"/>
      <c r="AB10" s="1"/>
      <c r="AC10" s="1"/>
      <c r="AD10" s="1"/>
      <c r="AE10" s="1"/>
      <c r="AF10" s="1"/>
      <c r="AG10" s="1"/>
      <c r="AH10" s="1"/>
      <c r="AI10" s="1"/>
      <c r="AJ10" s="2"/>
    </row>
    <row r="11" spans="1:36" x14ac:dyDescent="0.2">
      <c r="A11" s="1" t="s">
        <v>5</v>
      </c>
      <c r="B11" s="1">
        <v>100</v>
      </c>
      <c r="C11" s="1">
        <v>1</v>
      </c>
      <c r="D11" s="1">
        <v>100</v>
      </c>
      <c r="E11" s="1">
        <v>100</v>
      </c>
      <c r="F11" s="1">
        <v>100</v>
      </c>
      <c r="G11" s="1">
        <f>D11*$B$2/100</f>
        <v>100</v>
      </c>
      <c r="H11" s="1">
        <f t="shared" ref="H11:H13" si="6">E11*$B$2/100</f>
        <v>100</v>
      </c>
      <c r="I11" s="1">
        <f t="shared" ref="I11:I13" si="7">F11*$B$2/100</f>
        <v>100</v>
      </c>
      <c r="N11" s="1"/>
      <c r="O11" s="3"/>
      <c r="P11" s="1"/>
      <c r="Q11" s="1"/>
      <c r="R11" s="1"/>
      <c r="S11" s="1"/>
      <c r="T11" s="1"/>
      <c r="U11" s="1"/>
      <c r="V11" s="1"/>
      <c r="W11" s="2"/>
      <c r="AA11" s="1"/>
      <c r="AB11" s="3"/>
      <c r="AC11" s="1"/>
      <c r="AD11" s="1"/>
      <c r="AE11" s="1"/>
      <c r="AF11" s="1"/>
      <c r="AG11" s="1"/>
      <c r="AH11" s="1"/>
      <c r="AI11" s="1"/>
      <c r="AJ11" s="2"/>
    </row>
    <row r="12" spans="1:36" x14ac:dyDescent="0.2">
      <c r="A12" s="1"/>
      <c r="B12" s="1"/>
      <c r="C12" s="1">
        <v>2</v>
      </c>
      <c r="D12" s="1">
        <v>100</v>
      </c>
      <c r="E12" s="1">
        <v>100</v>
      </c>
      <c r="F12" s="1">
        <v>100</v>
      </c>
      <c r="G12" s="1">
        <f t="shared" ref="G12:G13" si="8">D12*$B$2/100</f>
        <v>100</v>
      </c>
      <c r="H12" s="1">
        <f t="shared" si="6"/>
        <v>100</v>
      </c>
      <c r="I12" s="1">
        <f t="shared" si="7"/>
        <v>100</v>
      </c>
      <c r="N12" s="1"/>
      <c r="O12" s="1"/>
      <c r="P12" s="1"/>
      <c r="R12" s="1"/>
      <c r="S12" s="1"/>
      <c r="U12" s="1"/>
      <c r="V12" s="1"/>
      <c r="W12" s="2"/>
      <c r="AA12" s="1"/>
      <c r="AB12" s="1"/>
      <c r="AC12" s="1"/>
      <c r="AD12" s="1"/>
      <c r="AE12" s="1"/>
      <c r="AF12" s="1"/>
      <c r="AG12" s="1"/>
      <c r="AH12" s="1"/>
      <c r="AI12" s="1"/>
      <c r="AJ12" s="2"/>
    </row>
    <row r="13" spans="1:36" x14ac:dyDescent="0.2">
      <c r="A13" s="1"/>
      <c r="B13" s="1"/>
      <c r="C13" s="1">
        <v>3</v>
      </c>
      <c r="D13" s="1">
        <v>100</v>
      </c>
      <c r="E13" s="1">
        <v>100</v>
      </c>
      <c r="F13" s="1">
        <v>100</v>
      </c>
      <c r="G13" s="1">
        <f t="shared" si="8"/>
        <v>100</v>
      </c>
      <c r="H13" s="1">
        <f t="shared" si="6"/>
        <v>100</v>
      </c>
      <c r="I13" s="1">
        <f t="shared" si="7"/>
        <v>100</v>
      </c>
      <c r="N13" s="1"/>
      <c r="O13" s="1"/>
      <c r="P13" s="1"/>
      <c r="R13" s="1"/>
      <c r="S13" s="1"/>
      <c r="U13" s="1"/>
      <c r="V13" s="1"/>
      <c r="W13" s="2"/>
      <c r="AA13" s="1"/>
      <c r="AB13" s="1"/>
      <c r="AC13" s="1"/>
      <c r="AD13" s="1"/>
      <c r="AE13" s="1"/>
      <c r="AF13" s="1"/>
      <c r="AG13" s="1"/>
      <c r="AH13" s="1"/>
      <c r="AI13" s="1"/>
      <c r="AJ13" s="2"/>
    </row>
    <row r="14" spans="1:36" x14ac:dyDescent="0.2">
      <c r="A14" s="1"/>
      <c r="B14" s="1">
        <v>90</v>
      </c>
      <c r="C14" s="1">
        <v>1</v>
      </c>
      <c r="D14" s="1">
        <v>100</v>
      </c>
      <c r="E14" s="1">
        <v>100</v>
      </c>
      <c r="F14" s="1">
        <v>100</v>
      </c>
      <c r="G14" s="1">
        <f t="shared" ref="G14:I16" si="9">D14*$B$5/100</f>
        <v>90</v>
      </c>
      <c r="H14" s="1">
        <f t="shared" si="9"/>
        <v>90</v>
      </c>
      <c r="I14" s="1">
        <f t="shared" si="9"/>
        <v>90</v>
      </c>
      <c r="J14" s="2"/>
      <c r="N14" s="1"/>
      <c r="O14" s="3"/>
      <c r="P14" s="1"/>
      <c r="Q14" s="1"/>
      <c r="R14" s="1"/>
      <c r="S14" s="1"/>
      <c r="T14" s="1"/>
      <c r="U14" s="1"/>
      <c r="V14" s="1"/>
      <c r="W14" s="2"/>
    </row>
    <row r="15" spans="1:36" x14ac:dyDescent="0.2">
      <c r="A15" s="1"/>
      <c r="B15" s="1"/>
      <c r="C15" s="1">
        <v>2</v>
      </c>
      <c r="D15" s="1">
        <v>100</v>
      </c>
      <c r="E15" s="1">
        <v>100</v>
      </c>
      <c r="F15" s="1">
        <v>100</v>
      </c>
      <c r="G15" s="1">
        <f t="shared" si="9"/>
        <v>90</v>
      </c>
      <c r="H15" s="1">
        <f t="shared" si="9"/>
        <v>90</v>
      </c>
      <c r="I15" s="1">
        <f t="shared" si="9"/>
        <v>90</v>
      </c>
      <c r="J15" s="2"/>
      <c r="N15" s="1"/>
      <c r="O15" s="1"/>
      <c r="P15" s="1"/>
      <c r="R15" s="1"/>
      <c r="S15" s="1"/>
      <c r="U15" s="1"/>
      <c r="V15" s="1"/>
      <c r="W15" s="2"/>
    </row>
    <row r="16" spans="1:36" x14ac:dyDescent="0.2">
      <c r="A16" s="1"/>
      <c r="B16" s="1"/>
      <c r="C16" s="1">
        <v>3</v>
      </c>
      <c r="D16" s="1">
        <v>100</v>
      </c>
      <c r="E16" s="1">
        <v>100</v>
      </c>
      <c r="F16" s="1">
        <v>100</v>
      </c>
      <c r="G16" s="1">
        <f t="shared" si="9"/>
        <v>90</v>
      </c>
      <c r="H16" s="1">
        <f t="shared" si="9"/>
        <v>90</v>
      </c>
      <c r="I16" s="1">
        <f t="shared" si="9"/>
        <v>90</v>
      </c>
      <c r="J16" s="2"/>
      <c r="N16" s="1"/>
      <c r="O16" s="1"/>
      <c r="P16" s="1"/>
      <c r="R16" s="1"/>
      <c r="S16" s="1"/>
      <c r="U16" s="1"/>
      <c r="V16" s="1"/>
      <c r="W16" s="2"/>
    </row>
    <row r="17" spans="1:23" x14ac:dyDescent="0.2">
      <c r="A17" s="1"/>
      <c r="B17" s="1">
        <v>50</v>
      </c>
      <c r="C17" s="1">
        <v>1</v>
      </c>
      <c r="D17" s="1">
        <v>100</v>
      </c>
      <c r="E17" s="1">
        <v>100</v>
      </c>
      <c r="F17" s="1">
        <v>100</v>
      </c>
      <c r="G17" s="1">
        <f t="shared" ref="G17:I19" si="10">D17*$B$8/100</f>
        <v>50</v>
      </c>
      <c r="H17" s="1">
        <f t="shared" si="10"/>
        <v>50</v>
      </c>
      <c r="I17" s="1">
        <f t="shared" si="10"/>
        <v>50</v>
      </c>
      <c r="J17" s="2"/>
      <c r="N17" s="1"/>
      <c r="O17" s="3"/>
      <c r="P17" s="1"/>
      <c r="Q17" s="1"/>
      <c r="R17" s="1"/>
      <c r="S17" s="1"/>
      <c r="T17" s="1"/>
      <c r="U17" s="1"/>
      <c r="V17" s="1"/>
      <c r="W17" s="2"/>
    </row>
    <row r="18" spans="1:23" x14ac:dyDescent="0.2">
      <c r="A18" s="1"/>
      <c r="B18" s="1"/>
      <c r="C18" s="1">
        <v>2</v>
      </c>
      <c r="D18" s="1">
        <v>100</v>
      </c>
      <c r="E18" s="1">
        <v>100</v>
      </c>
      <c r="F18" s="1">
        <v>100</v>
      </c>
      <c r="G18" s="1">
        <f t="shared" si="10"/>
        <v>50</v>
      </c>
      <c r="H18" s="1">
        <f t="shared" si="10"/>
        <v>50</v>
      </c>
      <c r="I18" s="1">
        <f t="shared" si="10"/>
        <v>50</v>
      </c>
      <c r="J18" s="2"/>
      <c r="N18" s="1"/>
      <c r="O18" s="1"/>
      <c r="P18" s="1"/>
      <c r="R18" s="1"/>
      <c r="S18" s="1"/>
      <c r="U18" s="1"/>
      <c r="V18" s="1"/>
      <c r="W18" s="2"/>
    </row>
    <row r="19" spans="1:23" x14ac:dyDescent="0.2">
      <c r="A19" s="1"/>
      <c r="B19" s="1"/>
      <c r="C19" s="1">
        <v>3</v>
      </c>
      <c r="D19" s="1">
        <v>100</v>
      </c>
      <c r="E19" s="1">
        <v>100</v>
      </c>
      <c r="F19" s="1">
        <v>100</v>
      </c>
      <c r="G19" s="1">
        <f t="shared" si="10"/>
        <v>50</v>
      </c>
      <c r="H19" s="1">
        <f t="shared" si="10"/>
        <v>50</v>
      </c>
      <c r="I19" s="1">
        <f t="shared" si="10"/>
        <v>50</v>
      </c>
      <c r="J19" s="2"/>
      <c r="N19" s="1"/>
      <c r="O19" s="1"/>
      <c r="P19" s="1"/>
      <c r="R19" s="1"/>
      <c r="S19" s="1"/>
      <c r="U19" s="1"/>
      <c r="V19" s="1"/>
      <c r="W19" s="2"/>
    </row>
    <row r="20" spans="1:23" x14ac:dyDescent="0.2">
      <c r="A20" s="1"/>
      <c r="B20" s="1"/>
      <c r="C20" s="1"/>
      <c r="D20" s="1"/>
      <c r="E20" s="1"/>
      <c r="F20" s="1"/>
      <c r="G20" s="1"/>
      <c r="H20" s="1"/>
      <c r="I20" s="1"/>
      <c r="J20" s="2"/>
      <c r="N20" s="1"/>
      <c r="O20" s="3"/>
      <c r="P20" s="1"/>
      <c r="Q20" s="1"/>
      <c r="R20" s="1"/>
      <c r="S20" s="1"/>
      <c r="T20" s="1"/>
      <c r="U20" s="1"/>
      <c r="V20" s="1"/>
      <c r="W20" s="2"/>
    </row>
    <row r="21" spans="1:23" x14ac:dyDescent="0.2">
      <c r="A21" s="1"/>
      <c r="B21" s="1"/>
      <c r="C21" s="1"/>
      <c r="D21" s="1"/>
      <c r="E21" s="1"/>
      <c r="F21" s="1"/>
      <c r="G21" s="1"/>
      <c r="H21" s="1"/>
      <c r="I21" s="1"/>
      <c r="J21" s="2"/>
      <c r="N21" s="1"/>
      <c r="O21" s="1"/>
      <c r="P21" s="1"/>
      <c r="R21" s="1"/>
      <c r="S21" s="1"/>
      <c r="U21" s="1"/>
      <c r="V21" s="1"/>
      <c r="W21" s="2"/>
    </row>
    <row r="22" spans="1:23" x14ac:dyDescent="0.2">
      <c r="A22" s="1"/>
      <c r="B22" s="1"/>
      <c r="C22" s="1"/>
      <c r="D22" s="1"/>
      <c r="E22" s="1"/>
      <c r="F22" s="1"/>
      <c r="G22" s="1"/>
      <c r="H22" s="1"/>
      <c r="I22" s="1"/>
      <c r="J22" s="2"/>
      <c r="N22" s="1"/>
      <c r="O22" s="1"/>
      <c r="P22" s="1"/>
      <c r="R22" s="1"/>
      <c r="S22" s="1"/>
      <c r="U22" s="1"/>
      <c r="V22" s="1"/>
      <c r="W22" s="2"/>
    </row>
    <row r="23" spans="1:23" x14ac:dyDescent="0.2">
      <c r="A23" s="1"/>
      <c r="B23" s="1"/>
      <c r="C23" s="1"/>
      <c r="D23" s="1"/>
      <c r="E23" s="1"/>
      <c r="F23" s="1"/>
      <c r="G23" s="1"/>
      <c r="H23" s="1"/>
      <c r="I23" s="1"/>
      <c r="J23" s="2"/>
      <c r="N23" s="1"/>
      <c r="O23" s="3"/>
      <c r="P23" s="1"/>
      <c r="Q23" s="1"/>
      <c r="R23" s="1"/>
      <c r="S23" s="1"/>
      <c r="T23" s="1"/>
      <c r="U23" s="1"/>
      <c r="V23" s="1"/>
      <c r="W23" s="2"/>
    </row>
    <row r="24" spans="1:23" x14ac:dyDescent="0.2">
      <c r="A24" s="1"/>
      <c r="B24" s="1"/>
      <c r="C24" s="1"/>
      <c r="D24" s="1"/>
      <c r="E24" s="1"/>
      <c r="F24" s="1"/>
      <c r="G24" s="1"/>
      <c r="H24" s="1"/>
      <c r="I24" s="1"/>
      <c r="J24" s="2"/>
      <c r="N24" s="1"/>
      <c r="O24" s="1"/>
      <c r="P24" s="1"/>
      <c r="R24" s="1"/>
      <c r="S24" s="1"/>
      <c r="U24" s="1"/>
      <c r="V24" s="1"/>
      <c r="W24" s="2"/>
    </row>
    <row r="25" spans="1:23" x14ac:dyDescent="0.2">
      <c r="A25" s="1"/>
      <c r="B25" s="1"/>
      <c r="C25" s="1"/>
      <c r="D25" s="1"/>
      <c r="E25" s="1"/>
      <c r="F25" s="1"/>
      <c r="G25" s="1"/>
      <c r="H25" s="1"/>
      <c r="I25" s="1"/>
      <c r="J25" s="2"/>
      <c r="N25" s="1"/>
      <c r="O25" s="1"/>
      <c r="P25" s="1"/>
      <c r="R25" s="1"/>
      <c r="S25" s="1"/>
      <c r="U25" s="1"/>
      <c r="V25" s="1"/>
      <c r="W25" s="2"/>
    </row>
    <row r="26" spans="1:23" x14ac:dyDescent="0.2">
      <c r="A26" s="1"/>
      <c r="B26" s="1"/>
      <c r="C26" s="1"/>
      <c r="D26" s="1"/>
      <c r="E26" s="1"/>
      <c r="F26" s="1"/>
      <c r="G26" s="1"/>
      <c r="H26" s="1"/>
      <c r="I26" s="1"/>
      <c r="J26" s="2"/>
      <c r="N26" s="1"/>
      <c r="O26" s="3"/>
      <c r="P26" s="1"/>
      <c r="Q26" s="1"/>
      <c r="R26" s="1"/>
      <c r="S26" s="1"/>
      <c r="T26" s="1"/>
      <c r="U26" s="1"/>
      <c r="V26" s="1"/>
      <c r="W26" s="2"/>
    </row>
    <row r="27" spans="1:23" x14ac:dyDescent="0.2">
      <c r="A27" s="1"/>
      <c r="B27" s="1"/>
      <c r="C27" s="1"/>
      <c r="D27" s="1"/>
      <c r="E27" s="1"/>
      <c r="F27" s="1"/>
      <c r="G27" s="1"/>
      <c r="H27" s="1"/>
      <c r="I27" s="1"/>
      <c r="J27" s="2"/>
      <c r="N27" s="1"/>
      <c r="O27" s="1"/>
      <c r="P27" s="1"/>
      <c r="R27" s="1"/>
      <c r="S27" s="1"/>
      <c r="U27" s="1"/>
      <c r="V27" s="1"/>
      <c r="W27" s="2"/>
    </row>
    <row r="28" spans="1:23" x14ac:dyDescent="0.2">
      <c r="A28" s="1"/>
      <c r="B28" s="1"/>
      <c r="C28" s="1"/>
      <c r="D28" s="1"/>
      <c r="E28" s="1"/>
      <c r="F28" s="1"/>
      <c r="G28" s="1"/>
      <c r="H28" s="1"/>
      <c r="I28" s="1"/>
      <c r="J28" s="2"/>
      <c r="N28" s="1"/>
      <c r="O28" s="1"/>
      <c r="P28" s="1"/>
      <c r="R28" s="1"/>
      <c r="S28" s="1"/>
      <c r="U28" s="1"/>
      <c r="V28" s="1"/>
      <c r="W28" s="2"/>
    </row>
    <row r="29" spans="1:23" x14ac:dyDescent="0.2">
      <c r="A29" s="1"/>
      <c r="B29" s="1"/>
      <c r="C29" s="1"/>
      <c r="D29" s="1"/>
      <c r="E29" s="1"/>
      <c r="F29" s="1"/>
      <c r="G29" s="1"/>
      <c r="H29" s="1"/>
      <c r="I29" s="1"/>
      <c r="J29" s="2"/>
      <c r="N29" s="1"/>
      <c r="O29" s="3"/>
      <c r="P29" s="1"/>
      <c r="Q29" s="1"/>
      <c r="R29" s="1"/>
      <c r="S29" s="1"/>
      <c r="T29" s="1"/>
      <c r="U29" s="1"/>
      <c r="V29" s="1"/>
      <c r="W29" s="2"/>
    </row>
    <row r="30" spans="1:23" x14ac:dyDescent="0.2">
      <c r="A30" s="1"/>
      <c r="B30" s="1"/>
      <c r="C30" s="1"/>
      <c r="D30" s="1"/>
      <c r="E30" s="1"/>
      <c r="F30" s="1"/>
      <c r="G30" s="1"/>
      <c r="H30" s="1"/>
      <c r="I30" s="1"/>
      <c r="J30" s="2"/>
      <c r="N30" s="1"/>
      <c r="O30" s="1"/>
      <c r="P30" s="1"/>
      <c r="R30" s="1"/>
      <c r="S30" s="1"/>
      <c r="U30" s="1"/>
      <c r="V30" s="1"/>
      <c r="W30" s="2"/>
    </row>
    <row r="31" spans="1:23" x14ac:dyDescent="0.2">
      <c r="A31" s="1"/>
      <c r="B31" s="1"/>
      <c r="C31" s="1"/>
      <c r="D31" s="1"/>
      <c r="E31" s="1"/>
      <c r="F31" s="1"/>
      <c r="G31" s="1"/>
      <c r="H31" s="1"/>
      <c r="I31" s="1"/>
      <c r="J31" s="2"/>
      <c r="N31" s="1"/>
      <c r="O31" s="1"/>
      <c r="P31" s="1"/>
      <c r="R31" s="1"/>
      <c r="S31" s="1"/>
      <c r="U31" s="1"/>
      <c r="V31" s="1"/>
      <c r="W31" s="2"/>
    </row>
    <row r="32" spans="1:23" x14ac:dyDescent="0.2">
      <c r="A32" s="1"/>
      <c r="B32" s="1"/>
      <c r="C32" s="1"/>
      <c r="D32" s="1"/>
      <c r="E32" s="1"/>
      <c r="F32" s="1"/>
      <c r="G32" s="1"/>
      <c r="H32" s="1"/>
      <c r="I32" s="1"/>
      <c r="J32" s="2"/>
      <c r="N32" s="1"/>
      <c r="O32" s="3"/>
      <c r="P32" s="1"/>
      <c r="Q32" s="1"/>
      <c r="R32" s="1"/>
      <c r="S32" s="1"/>
      <c r="T32" s="1"/>
      <c r="U32" s="1"/>
      <c r="V32" s="1"/>
      <c r="W32" s="2"/>
    </row>
    <row r="33" spans="1:23" x14ac:dyDescent="0.2">
      <c r="A33" s="1"/>
      <c r="B33" s="1"/>
      <c r="C33" s="1"/>
      <c r="D33" s="1"/>
      <c r="E33" s="1"/>
      <c r="F33" s="1"/>
      <c r="G33" s="1"/>
      <c r="H33" s="1"/>
      <c r="I33" s="1"/>
      <c r="J33" s="2"/>
      <c r="N33" s="1"/>
      <c r="O33" s="1"/>
      <c r="P33" s="1"/>
      <c r="R33" s="1"/>
      <c r="S33" s="1"/>
      <c r="T33" s="1"/>
      <c r="U33" s="1"/>
      <c r="V33" s="1"/>
      <c r="W33" s="2"/>
    </row>
    <row r="34" spans="1:23" x14ac:dyDescent="0.2">
      <c r="A34" s="1"/>
      <c r="B34" s="1"/>
      <c r="C34" s="1"/>
      <c r="D34" s="1"/>
      <c r="E34" s="1"/>
      <c r="F34" s="1"/>
      <c r="G34" s="1"/>
      <c r="H34" s="1"/>
      <c r="I34" s="1"/>
      <c r="J34" s="2"/>
      <c r="N34" s="1"/>
      <c r="O34" s="1"/>
      <c r="P34" s="1"/>
      <c r="R34" s="1"/>
      <c r="S34" s="1"/>
      <c r="U34" s="1"/>
      <c r="V34" s="1"/>
      <c r="W34" s="2"/>
    </row>
    <row r="35" spans="1:23" x14ac:dyDescent="0.2">
      <c r="A35" s="1"/>
      <c r="B35" s="1"/>
      <c r="C35" s="1"/>
      <c r="D35" s="1"/>
      <c r="E35" s="1"/>
      <c r="F35" s="1"/>
      <c r="G35" s="1"/>
      <c r="H35" s="1"/>
      <c r="I35" s="1"/>
      <c r="J35" s="2"/>
      <c r="N35" s="1"/>
      <c r="O35" s="3"/>
      <c r="P35" s="1"/>
      <c r="Q35" s="1"/>
      <c r="R35" s="1"/>
      <c r="S35" s="1"/>
      <c r="T35" s="1"/>
      <c r="U35" s="1"/>
      <c r="V35" s="1"/>
      <c r="W35" s="2"/>
    </row>
    <row r="36" spans="1:23" x14ac:dyDescent="0.2">
      <c r="A36" s="1"/>
      <c r="B36" s="1"/>
      <c r="C36" s="1"/>
      <c r="D36" s="1"/>
      <c r="E36" s="1"/>
      <c r="F36" s="1"/>
      <c r="G36" s="1"/>
      <c r="H36" s="1"/>
      <c r="I36" s="1"/>
      <c r="J36" s="2"/>
      <c r="N36" s="1"/>
      <c r="O36" s="1"/>
      <c r="P36" s="1"/>
      <c r="R36" s="1"/>
      <c r="S36" s="1"/>
      <c r="U36" s="1"/>
      <c r="V36" s="1"/>
      <c r="W36" s="2"/>
    </row>
    <row r="37" spans="1:23" x14ac:dyDescent="0.2">
      <c r="A37" s="1"/>
      <c r="B37" s="1"/>
      <c r="C37" s="1"/>
      <c r="D37" s="1"/>
      <c r="E37" s="1"/>
      <c r="F37" s="1"/>
      <c r="G37" s="1"/>
      <c r="H37" s="1"/>
      <c r="I37" s="1"/>
      <c r="J37" s="2"/>
      <c r="N37" s="1"/>
      <c r="O37" s="1"/>
      <c r="P37" s="1"/>
      <c r="R37" s="1"/>
      <c r="S37" s="1"/>
      <c r="U37" s="1"/>
      <c r="V37" s="1"/>
      <c r="W37" s="2"/>
    </row>
    <row r="38" spans="1:23" x14ac:dyDescent="0.2">
      <c r="B38" s="1"/>
      <c r="C38" s="1"/>
      <c r="D38" s="1"/>
      <c r="E38" s="1"/>
      <c r="F38" s="1"/>
      <c r="G38" s="1"/>
      <c r="H38" s="1"/>
      <c r="I38" s="1"/>
      <c r="J38" s="2"/>
      <c r="O38" s="3"/>
      <c r="P38" s="1"/>
      <c r="Q38" s="1"/>
      <c r="R38" s="1"/>
      <c r="S38" s="1"/>
      <c r="T38" s="1"/>
      <c r="U38" s="1"/>
      <c r="V38" s="1"/>
      <c r="W38" s="2"/>
    </row>
    <row r="39" spans="1:23" x14ac:dyDescent="0.2">
      <c r="B39" s="1"/>
      <c r="C39" s="1"/>
      <c r="D39" s="1"/>
      <c r="E39" s="1"/>
      <c r="F39" s="1"/>
      <c r="G39" s="1"/>
      <c r="H39" s="1"/>
      <c r="I39" s="1"/>
      <c r="J39" s="2"/>
      <c r="O39" s="1"/>
      <c r="P39" s="1"/>
      <c r="W39" s="2"/>
    </row>
    <row r="40" spans="1:23" x14ac:dyDescent="0.2">
      <c r="B40" s="1"/>
      <c r="C40" s="1"/>
      <c r="D40" s="1"/>
      <c r="E40" s="1"/>
      <c r="F40" s="1"/>
      <c r="G40" s="1"/>
      <c r="H40" s="1"/>
      <c r="I40" s="1"/>
      <c r="J40" s="2"/>
      <c r="O40" s="1"/>
      <c r="P40" s="1"/>
      <c r="W40" s="2"/>
    </row>
    <row r="41" spans="1:23" x14ac:dyDescent="0.2">
      <c r="B41" s="1"/>
      <c r="C41" s="1"/>
      <c r="D41" s="1"/>
      <c r="E41" s="1"/>
      <c r="F41" s="1"/>
      <c r="G41" s="1"/>
      <c r="H41" s="1"/>
      <c r="I41" s="1"/>
      <c r="J41" s="2"/>
      <c r="O41" s="3"/>
      <c r="P41" s="1"/>
      <c r="Q41" s="1"/>
      <c r="R41" s="1"/>
      <c r="S41" s="1"/>
      <c r="T41" s="1"/>
      <c r="U41" s="1"/>
      <c r="V41" s="1"/>
      <c r="W41" s="2"/>
    </row>
    <row r="42" spans="1:23" x14ac:dyDescent="0.2">
      <c r="B42" s="1"/>
      <c r="C42" s="1"/>
      <c r="D42" s="1"/>
      <c r="E42" s="1"/>
      <c r="F42" s="1"/>
      <c r="G42" s="1"/>
      <c r="H42" s="1"/>
      <c r="I42" s="1"/>
      <c r="J42" s="2"/>
      <c r="O42" s="1"/>
      <c r="P42" s="1"/>
      <c r="W42" s="2"/>
    </row>
    <row r="43" spans="1:23" x14ac:dyDescent="0.2">
      <c r="B43" s="1"/>
      <c r="C43" s="1"/>
      <c r="D43" s="1"/>
      <c r="E43" s="1"/>
      <c r="F43" s="1"/>
      <c r="G43" s="1"/>
      <c r="H43" s="1"/>
      <c r="I43" s="1"/>
      <c r="J43" s="2"/>
      <c r="O43" s="1"/>
      <c r="P43" s="1"/>
      <c r="W43" s="2"/>
    </row>
    <row r="44" spans="1:23" x14ac:dyDescent="0.2">
      <c r="B44" s="1"/>
      <c r="C44" s="1"/>
      <c r="D44" s="1"/>
      <c r="E44" s="1"/>
      <c r="F44" s="1"/>
      <c r="G44" s="1"/>
      <c r="H44" s="1"/>
      <c r="I44" s="1"/>
      <c r="J44" s="2"/>
      <c r="O44" s="3"/>
      <c r="P44" s="1"/>
      <c r="Q44" s="1"/>
      <c r="R44" s="1"/>
      <c r="S44" s="1"/>
      <c r="T44" s="1"/>
      <c r="U44" s="1"/>
      <c r="V44" s="1"/>
      <c r="W44" s="2"/>
    </row>
    <row r="45" spans="1:23" x14ac:dyDescent="0.2">
      <c r="B45" s="1"/>
      <c r="C45" s="1"/>
      <c r="D45" s="1"/>
      <c r="E45" s="1"/>
      <c r="F45" s="1"/>
      <c r="G45" s="1"/>
      <c r="H45" s="1"/>
      <c r="I45" s="1"/>
      <c r="O45" s="1"/>
      <c r="P45" s="1"/>
    </row>
    <row r="46" spans="1:23" x14ac:dyDescent="0.2">
      <c r="B46" s="1"/>
      <c r="C46" s="1"/>
      <c r="D46" s="1"/>
      <c r="E46" s="1"/>
      <c r="F46" s="1"/>
      <c r="G46" s="1"/>
      <c r="H46" s="1"/>
      <c r="I46" s="1"/>
      <c r="O46" s="1"/>
      <c r="P46" s="1"/>
    </row>
  </sheetData>
  <mergeCells count="6">
    <mergeCell ref="AG1:AI1"/>
    <mergeCell ref="D1:F1"/>
    <mergeCell ref="G1:I1"/>
    <mergeCell ref="Q1:S1"/>
    <mergeCell ref="T1:V1"/>
    <mergeCell ref="AD1:A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3B397-1E91-D141-A667-CB4524C4018F}">
  <dimension ref="A1:I19"/>
  <sheetViews>
    <sheetView zoomScale="150" workbookViewId="0">
      <selection activeCell="F10" sqref="F10"/>
    </sheetView>
  </sheetViews>
  <sheetFormatPr baseColWidth="10" defaultRowHeight="16" x14ac:dyDescent="0.2"/>
  <sheetData>
    <row r="1" spans="1:9" x14ac:dyDescent="0.2">
      <c r="A1" s="1" t="s">
        <v>3</v>
      </c>
      <c r="B1" s="1"/>
      <c r="C1" s="1" t="s">
        <v>2</v>
      </c>
      <c r="D1" s="5" t="s">
        <v>0</v>
      </c>
      <c r="E1" s="5"/>
      <c r="F1" s="5"/>
      <c r="G1" s="5" t="s">
        <v>1</v>
      </c>
      <c r="H1" s="5"/>
      <c r="I1" s="5"/>
    </row>
    <row r="2" spans="1:9" x14ac:dyDescent="0.2">
      <c r="A2" s="1" t="s">
        <v>4</v>
      </c>
      <c r="B2" s="1">
        <v>100</v>
      </c>
      <c r="C2" s="1">
        <v>1</v>
      </c>
      <c r="D2">
        <v>65</v>
      </c>
      <c r="E2" s="1">
        <v>79</v>
      </c>
      <c r="F2" s="1">
        <v>74</v>
      </c>
      <c r="G2" s="1">
        <v>90</v>
      </c>
      <c r="H2" s="1">
        <v>79</v>
      </c>
      <c r="I2" s="1">
        <v>84</v>
      </c>
    </row>
    <row r="3" spans="1:9" x14ac:dyDescent="0.2">
      <c r="A3" s="1"/>
      <c r="B3" s="1"/>
      <c r="C3" s="1">
        <v>2</v>
      </c>
      <c r="D3">
        <v>127</v>
      </c>
      <c r="E3">
        <v>127</v>
      </c>
      <c r="F3" s="1">
        <v>131</v>
      </c>
      <c r="G3" s="1">
        <v>147</v>
      </c>
      <c r="H3" s="1">
        <v>138</v>
      </c>
      <c r="I3" s="1">
        <v>136</v>
      </c>
    </row>
    <row r="4" spans="1:9" x14ac:dyDescent="0.2">
      <c r="A4" s="1"/>
      <c r="B4" s="1"/>
      <c r="C4" s="1">
        <v>3</v>
      </c>
      <c r="D4">
        <v>149</v>
      </c>
      <c r="E4">
        <v>128</v>
      </c>
      <c r="F4" s="1">
        <v>128</v>
      </c>
      <c r="G4" s="1">
        <v>137</v>
      </c>
      <c r="H4" s="1">
        <v>137</v>
      </c>
      <c r="I4" s="1">
        <v>120</v>
      </c>
    </row>
    <row r="5" spans="1:9" x14ac:dyDescent="0.2">
      <c r="A5" s="1"/>
      <c r="B5" s="1">
        <v>90</v>
      </c>
      <c r="C5" s="1">
        <v>1</v>
      </c>
      <c r="D5">
        <v>199</v>
      </c>
      <c r="E5" s="1">
        <v>170</v>
      </c>
      <c r="G5" s="1">
        <v>184</v>
      </c>
      <c r="H5" s="1">
        <v>206</v>
      </c>
      <c r="I5" s="1">
        <v>171</v>
      </c>
    </row>
    <row r="6" spans="1:9" x14ac:dyDescent="0.2">
      <c r="A6" s="1"/>
      <c r="B6" s="1"/>
      <c r="C6" s="1">
        <v>2</v>
      </c>
      <c r="D6">
        <v>281</v>
      </c>
      <c r="E6">
        <v>273</v>
      </c>
      <c r="G6" s="1">
        <v>241</v>
      </c>
      <c r="H6" s="1">
        <v>251</v>
      </c>
      <c r="I6" s="1">
        <v>226</v>
      </c>
    </row>
    <row r="7" spans="1:9" x14ac:dyDescent="0.2">
      <c r="A7" s="1"/>
      <c r="B7" s="1"/>
      <c r="C7" s="1">
        <v>3</v>
      </c>
      <c r="D7">
        <v>185</v>
      </c>
      <c r="E7">
        <v>192</v>
      </c>
      <c r="G7" s="1">
        <v>142</v>
      </c>
      <c r="H7" s="1">
        <v>146</v>
      </c>
      <c r="I7" s="1">
        <v>150</v>
      </c>
    </row>
    <row r="8" spans="1:9" x14ac:dyDescent="0.2">
      <c r="A8" s="1"/>
      <c r="B8" s="1">
        <v>50</v>
      </c>
      <c r="C8" s="1">
        <v>1</v>
      </c>
      <c r="D8">
        <v>152</v>
      </c>
      <c r="E8" s="1">
        <v>190</v>
      </c>
      <c r="F8" s="1">
        <v>161</v>
      </c>
      <c r="G8" s="1">
        <v>86</v>
      </c>
      <c r="H8" s="1">
        <v>71</v>
      </c>
      <c r="I8" s="1">
        <v>72</v>
      </c>
    </row>
    <row r="9" spans="1:9" x14ac:dyDescent="0.2">
      <c r="A9" s="1"/>
      <c r="B9" s="1"/>
      <c r="C9" s="1">
        <v>2</v>
      </c>
      <c r="D9">
        <v>229</v>
      </c>
      <c r="E9">
        <v>226</v>
      </c>
      <c r="F9" s="1">
        <v>203</v>
      </c>
      <c r="G9" s="1">
        <v>89</v>
      </c>
      <c r="H9" s="1">
        <v>77</v>
      </c>
      <c r="I9" s="1">
        <v>96</v>
      </c>
    </row>
    <row r="10" spans="1:9" x14ac:dyDescent="0.2">
      <c r="A10" s="1"/>
      <c r="B10" s="1"/>
      <c r="C10" s="1">
        <v>3</v>
      </c>
      <c r="D10">
        <v>229</v>
      </c>
      <c r="E10">
        <v>216</v>
      </c>
      <c r="F10" s="1">
        <v>213</v>
      </c>
      <c r="G10" s="1">
        <v>92</v>
      </c>
      <c r="H10" s="1">
        <v>93</v>
      </c>
      <c r="I10" s="1">
        <v>93</v>
      </c>
    </row>
    <row r="11" spans="1:9" x14ac:dyDescent="0.2">
      <c r="A11" s="1" t="s">
        <v>5</v>
      </c>
      <c r="B11" s="1">
        <v>100</v>
      </c>
      <c r="C11" s="1">
        <v>1</v>
      </c>
      <c r="D11" s="1">
        <v>28</v>
      </c>
      <c r="E11" s="1">
        <v>29</v>
      </c>
      <c r="F11" s="1">
        <v>28</v>
      </c>
      <c r="G11" s="1">
        <v>29</v>
      </c>
      <c r="H11" s="1">
        <v>29</v>
      </c>
      <c r="I11" s="1">
        <v>26</v>
      </c>
    </row>
    <row r="12" spans="1:9" x14ac:dyDescent="0.2">
      <c r="A12" s="1"/>
      <c r="B12" s="1"/>
      <c r="C12" s="1">
        <v>2</v>
      </c>
      <c r="D12" s="1">
        <v>39</v>
      </c>
      <c r="E12" s="1">
        <v>30</v>
      </c>
      <c r="F12" s="1">
        <v>51</v>
      </c>
      <c r="G12" s="1">
        <v>43</v>
      </c>
      <c r="H12" s="1">
        <v>33</v>
      </c>
      <c r="I12" s="1">
        <v>38</v>
      </c>
    </row>
    <row r="13" spans="1:9" x14ac:dyDescent="0.2">
      <c r="A13" s="1"/>
      <c r="B13" s="1"/>
      <c r="C13" s="1">
        <v>3</v>
      </c>
      <c r="D13" s="1">
        <v>30</v>
      </c>
      <c r="E13" s="1">
        <v>21</v>
      </c>
      <c r="F13" s="1">
        <v>16</v>
      </c>
      <c r="G13" s="1">
        <v>20</v>
      </c>
      <c r="H13" s="1">
        <v>32</v>
      </c>
      <c r="I13" s="1">
        <v>30</v>
      </c>
    </row>
    <row r="14" spans="1:9" x14ac:dyDescent="0.2">
      <c r="A14" s="1"/>
      <c r="B14" s="1">
        <v>90</v>
      </c>
      <c r="C14" s="1">
        <v>1</v>
      </c>
      <c r="D14" s="1">
        <v>148</v>
      </c>
      <c r="E14" s="1">
        <v>128</v>
      </c>
      <c r="F14" s="1">
        <v>125</v>
      </c>
      <c r="G14" s="1">
        <v>110</v>
      </c>
      <c r="H14" s="1">
        <v>113</v>
      </c>
      <c r="I14" s="1">
        <v>128</v>
      </c>
    </row>
    <row r="15" spans="1:9" x14ac:dyDescent="0.2">
      <c r="A15" s="1"/>
      <c r="B15" s="1"/>
      <c r="C15" s="1">
        <v>2</v>
      </c>
      <c r="D15" s="1">
        <v>154</v>
      </c>
      <c r="E15" s="1">
        <v>156</v>
      </c>
      <c r="F15" s="1">
        <v>162</v>
      </c>
      <c r="G15" s="1">
        <v>121</v>
      </c>
      <c r="H15" s="1">
        <v>132</v>
      </c>
      <c r="I15" s="1">
        <v>143</v>
      </c>
    </row>
    <row r="16" spans="1:9" x14ac:dyDescent="0.2">
      <c r="A16" s="1"/>
      <c r="B16" s="1"/>
      <c r="C16" s="1">
        <v>3</v>
      </c>
      <c r="D16" s="1">
        <v>64</v>
      </c>
      <c r="E16" s="1">
        <v>60</v>
      </c>
      <c r="F16" s="1">
        <v>50</v>
      </c>
      <c r="G16" s="1">
        <v>38</v>
      </c>
      <c r="H16" s="1">
        <v>34</v>
      </c>
      <c r="I16" s="1">
        <v>32</v>
      </c>
    </row>
    <row r="17" spans="1:9" x14ac:dyDescent="0.2">
      <c r="A17" s="1"/>
      <c r="B17" s="1">
        <v>50</v>
      </c>
      <c r="C17" s="1">
        <v>1</v>
      </c>
      <c r="D17" s="1">
        <v>82</v>
      </c>
      <c r="E17" s="1">
        <v>59</v>
      </c>
      <c r="F17" s="1">
        <v>77</v>
      </c>
      <c r="G17" s="1">
        <v>26</v>
      </c>
      <c r="H17" s="1">
        <v>31</v>
      </c>
      <c r="I17" s="1">
        <v>21</v>
      </c>
    </row>
    <row r="18" spans="1:9" x14ac:dyDescent="0.2">
      <c r="A18" s="1"/>
      <c r="B18" s="1"/>
      <c r="C18" s="1">
        <v>2</v>
      </c>
      <c r="D18" s="1">
        <v>183</v>
      </c>
      <c r="E18" s="1">
        <v>177</v>
      </c>
      <c r="F18" s="1">
        <v>247</v>
      </c>
      <c r="G18" s="1">
        <v>101</v>
      </c>
      <c r="H18" s="1">
        <v>112</v>
      </c>
      <c r="I18" s="1">
        <v>116</v>
      </c>
    </row>
    <row r="19" spans="1:9" x14ac:dyDescent="0.2">
      <c r="A19" s="1"/>
      <c r="B19" s="1"/>
      <c r="C19" s="1">
        <v>3</v>
      </c>
      <c r="D19" s="1">
        <v>126</v>
      </c>
      <c r="E19" s="1">
        <v>168</v>
      </c>
      <c r="F19" s="1">
        <v>171</v>
      </c>
      <c r="G19" s="1">
        <v>65</v>
      </c>
      <c r="H19" s="1">
        <v>74</v>
      </c>
      <c r="I19" s="1">
        <v>64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FE83-E5DB-104C-95CA-23FADD2AA11D}">
  <dimension ref="A1:M19"/>
  <sheetViews>
    <sheetView tabSelected="1" workbookViewId="0">
      <selection activeCell="H21" sqref="H21"/>
    </sheetView>
  </sheetViews>
  <sheetFormatPr baseColWidth="10" defaultRowHeight="16" x14ac:dyDescent="0.2"/>
  <sheetData>
    <row r="1" spans="1:13" x14ac:dyDescent="0.2">
      <c r="A1" s="1" t="s">
        <v>3</v>
      </c>
      <c r="B1" s="1"/>
      <c r="C1" s="1" t="s">
        <v>2</v>
      </c>
      <c r="D1" s="5" t="s">
        <v>0</v>
      </c>
      <c r="E1" s="5"/>
      <c r="F1" s="5"/>
      <c r="G1" s="5" t="s">
        <v>1</v>
      </c>
      <c r="H1" s="5"/>
      <c r="I1" s="5"/>
    </row>
    <row r="2" spans="1:13" x14ac:dyDescent="0.2">
      <c r="A2" s="1" t="s">
        <v>4</v>
      </c>
      <c r="B2" s="1">
        <v>100</v>
      </c>
      <c r="C2" s="1">
        <v>1</v>
      </c>
      <c r="D2">
        <v>33</v>
      </c>
      <c r="E2" s="1">
        <v>27</v>
      </c>
      <c r="F2" s="1">
        <v>27</v>
      </c>
      <c r="G2" s="1">
        <v>28</v>
      </c>
      <c r="H2" s="1">
        <v>30</v>
      </c>
      <c r="I2" s="1">
        <v>25</v>
      </c>
    </row>
    <row r="3" spans="1:13" x14ac:dyDescent="0.2">
      <c r="A3" s="1"/>
      <c r="B3" s="1"/>
      <c r="C3" s="1">
        <v>2</v>
      </c>
      <c r="D3">
        <v>12</v>
      </c>
      <c r="E3">
        <v>15</v>
      </c>
      <c r="F3" s="1">
        <v>24</v>
      </c>
      <c r="G3" s="1">
        <v>13</v>
      </c>
      <c r="H3" s="1">
        <v>22</v>
      </c>
      <c r="I3" s="1">
        <v>20</v>
      </c>
    </row>
    <row r="4" spans="1:13" x14ac:dyDescent="0.2">
      <c r="A4" s="1"/>
      <c r="B4" s="1"/>
      <c r="C4" s="1">
        <v>3</v>
      </c>
      <c r="D4">
        <v>10</v>
      </c>
      <c r="E4">
        <v>10</v>
      </c>
      <c r="F4" s="1">
        <v>11</v>
      </c>
      <c r="G4" s="1">
        <v>8</v>
      </c>
      <c r="H4" s="1">
        <v>13</v>
      </c>
      <c r="I4" s="1">
        <v>10</v>
      </c>
    </row>
    <row r="5" spans="1:13" x14ac:dyDescent="0.2">
      <c r="A5" s="1"/>
      <c r="B5" s="1">
        <v>90</v>
      </c>
      <c r="C5" s="1">
        <v>1</v>
      </c>
      <c r="D5">
        <v>58</v>
      </c>
      <c r="E5" s="1">
        <v>59</v>
      </c>
      <c r="F5" s="1">
        <v>59</v>
      </c>
      <c r="G5" s="1">
        <v>14</v>
      </c>
      <c r="H5" s="1">
        <v>5</v>
      </c>
      <c r="I5" s="1">
        <v>13</v>
      </c>
    </row>
    <row r="6" spans="1:13" x14ac:dyDescent="0.2">
      <c r="A6" s="1"/>
      <c r="B6" s="1"/>
      <c r="C6" s="1">
        <v>2</v>
      </c>
      <c r="D6">
        <v>29</v>
      </c>
      <c r="E6">
        <v>28</v>
      </c>
      <c r="F6" s="1">
        <v>37</v>
      </c>
      <c r="G6" s="1">
        <v>8</v>
      </c>
      <c r="H6" s="1">
        <v>6</v>
      </c>
      <c r="I6" s="1">
        <v>11</v>
      </c>
    </row>
    <row r="7" spans="1:13" x14ac:dyDescent="0.2">
      <c r="A7" s="1"/>
      <c r="B7" s="1"/>
      <c r="C7" s="1">
        <v>3</v>
      </c>
      <c r="D7">
        <v>76</v>
      </c>
      <c r="E7">
        <v>73</v>
      </c>
      <c r="F7" s="1">
        <v>87</v>
      </c>
      <c r="G7" s="1">
        <v>12</v>
      </c>
      <c r="H7" s="1">
        <v>17</v>
      </c>
      <c r="I7" s="1">
        <v>12</v>
      </c>
    </row>
    <row r="8" spans="1:13" x14ac:dyDescent="0.2">
      <c r="A8" s="1"/>
      <c r="B8" s="1">
        <v>50</v>
      </c>
      <c r="C8" s="1">
        <v>1</v>
      </c>
      <c r="D8">
        <v>216</v>
      </c>
      <c r="E8" s="1">
        <v>203</v>
      </c>
      <c r="F8" s="1">
        <v>232</v>
      </c>
      <c r="G8">
        <f>J8/2</f>
        <v>13</v>
      </c>
      <c r="H8">
        <f t="shared" ref="H8:I8" si="0">K8/2</f>
        <v>4</v>
      </c>
      <c r="I8">
        <f t="shared" si="0"/>
        <v>3</v>
      </c>
      <c r="J8" s="1">
        <v>26</v>
      </c>
      <c r="K8" s="1">
        <v>8</v>
      </c>
      <c r="L8" s="1">
        <v>6</v>
      </c>
      <c r="M8" t="s">
        <v>7</v>
      </c>
    </row>
    <row r="9" spans="1:13" x14ac:dyDescent="0.2">
      <c r="A9" s="1"/>
      <c r="B9" s="1"/>
      <c r="C9" s="1">
        <v>2</v>
      </c>
      <c r="D9">
        <v>232</v>
      </c>
      <c r="E9">
        <v>209</v>
      </c>
      <c r="F9" s="1">
        <v>225</v>
      </c>
      <c r="G9">
        <f t="shared" ref="G9:G10" si="1">J9/2</f>
        <v>13.5</v>
      </c>
      <c r="H9">
        <f t="shared" ref="H9:H10" si="2">K9/2</f>
        <v>6.5</v>
      </c>
      <c r="I9">
        <f t="shared" ref="I9:I10" si="3">L9/2</f>
        <v>4.5</v>
      </c>
      <c r="J9" s="1">
        <v>27</v>
      </c>
      <c r="K9" s="1">
        <v>13</v>
      </c>
      <c r="L9" s="1">
        <v>9</v>
      </c>
      <c r="M9" t="s">
        <v>14</v>
      </c>
    </row>
    <row r="10" spans="1:13" x14ac:dyDescent="0.2">
      <c r="A10" s="1"/>
      <c r="B10" s="1"/>
      <c r="C10" s="1">
        <v>3</v>
      </c>
      <c r="D10">
        <v>125</v>
      </c>
      <c r="E10">
        <v>121</v>
      </c>
      <c r="F10" s="1">
        <v>122</v>
      </c>
      <c r="G10">
        <f t="shared" si="1"/>
        <v>6.5</v>
      </c>
      <c r="H10">
        <f t="shared" si="2"/>
        <v>3.5</v>
      </c>
      <c r="I10">
        <f t="shared" si="3"/>
        <v>2.5</v>
      </c>
      <c r="J10" s="1">
        <v>13</v>
      </c>
      <c r="K10" s="1">
        <v>7</v>
      </c>
      <c r="L10" s="1">
        <v>5</v>
      </c>
    </row>
    <row r="11" spans="1:13" x14ac:dyDescent="0.2">
      <c r="A11" s="1" t="s">
        <v>5</v>
      </c>
      <c r="B11" s="1">
        <v>100</v>
      </c>
      <c r="C11" s="1">
        <v>1</v>
      </c>
      <c r="D11" s="1">
        <v>24</v>
      </c>
      <c r="E11" s="1">
        <v>31</v>
      </c>
      <c r="F11" s="1">
        <v>15</v>
      </c>
      <c r="G11" s="1">
        <v>22</v>
      </c>
      <c r="H11" s="1">
        <v>21</v>
      </c>
      <c r="I11" s="1">
        <v>20</v>
      </c>
    </row>
    <row r="12" spans="1:13" x14ac:dyDescent="0.2">
      <c r="A12" s="1"/>
      <c r="B12" s="1"/>
      <c r="C12" s="1">
        <v>2</v>
      </c>
      <c r="D12" s="1">
        <v>238</v>
      </c>
      <c r="E12" s="1">
        <v>196</v>
      </c>
      <c r="F12" s="1">
        <v>236</v>
      </c>
      <c r="G12" s="1">
        <v>209</v>
      </c>
      <c r="H12" s="1">
        <v>220</v>
      </c>
      <c r="I12" s="1">
        <v>189</v>
      </c>
    </row>
    <row r="13" spans="1:13" x14ac:dyDescent="0.2">
      <c r="A13" s="1"/>
      <c r="B13" s="1"/>
      <c r="C13" s="1">
        <v>3</v>
      </c>
      <c r="D13" s="1">
        <v>17</v>
      </c>
      <c r="E13" s="1">
        <v>13</v>
      </c>
      <c r="F13" s="1">
        <v>13</v>
      </c>
      <c r="G13" s="1">
        <v>12</v>
      </c>
      <c r="H13" s="1">
        <v>14</v>
      </c>
      <c r="I13" s="1">
        <v>10</v>
      </c>
    </row>
    <row r="14" spans="1:13" x14ac:dyDescent="0.2">
      <c r="A14" s="1"/>
      <c r="B14" s="1">
        <v>90</v>
      </c>
      <c r="C14" s="1">
        <v>1</v>
      </c>
      <c r="D14" s="1">
        <v>12</v>
      </c>
      <c r="E14" s="1">
        <v>28</v>
      </c>
      <c r="F14" s="1">
        <v>12</v>
      </c>
      <c r="G14" s="1">
        <v>10</v>
      </c>
      <c r="H14" s="1">
        <v>14</v>
      </c>
      <c r="I14" s="1">
        <v>10</v>
      </c>
    </row>
    <row r="15" spans="1:13" x14ac:dyDescent="0.2">
      <c r="A15" s="1"/>
      <c r="B15" s="1"/>
      <c r="C15" s="1">
        <v>2</v>
      </c>
      <c r="D15" s="1">
        <v>40</v>
      </c>
      <c r="E15" s="1">
        <v>56</v>
      </c>
      <c r="F15" s="1">
        <v>44</v>
      </c>
      <c r="G15" s="1">
        <v>26</v>
      </c>
      <c r="H15" s="1">
        <v>34</v>
      </c>
      <c r="I15" s="1">
        <v>32</v>
      </c>
    </row>
    <row r="16" spans="1:13" x14ac:dyDescent="0.2">
      <c r="A16" s="1"/>
      <c r="B16" s="1"/>
      <c r="C16" s="1">
        <v>3</v>
      </c>
      <c r="D16" s="1">
        <v>28</v>
      </c>
      <c r="E16" s="1">
        <v>25</v>
      </c>
      <c r="F16" s="1">
        <v>34</v>
      </c>
      <c r="G16" s="1">
        <v>19</v>
      </c>
      <c r="H16" s="1">
        <v>19</v>
      </c>
      <c r="I16" s="1">
        <v>25</v>
      </c>
    </row>
    <row r="17" spans="1:13" x14ac:dyDescent="0.2">
      <c r="A17" s="1"/>
      <c r="B17" s="1">
        <v>50</v>
      </c>
      <c r="C17" s="1">
        <v>1</v>
      </c>
      <c r="D17" s="1">
        <v>44</v>
      </c>
      <c r="E17" s="1">
        <v>54</v>
      </c>
      <c r="F17" s="1">
        <v>51</v>
      </c>
      <c r="G17" s="1">
        <v>15</v>
      </c>
      <c r="H17" s="1">
        <v>19</v>
      </c>
      <c r="I17" s="1">
        <v>9</v>
      </c>
      <c r="M17" t="s">
        <v>15</v>
      </c>
    </row>
    <row r="18" spans="1:13" x14ac:dyDescent="0.2">
      <c r="A18" s="1"/>
      <c r="B18" s="1"/>
      <c r="C18" s="1">
        <v>2</v>
      </c>
      <c r="D18" s="1">
        <v>37</v>
      </c>
      <c r="E18" s="1">
        <v>53</v>
      </c>
      <c r="F18" s="1">
        <v>41</v>
      </c>
      <c r="G18" s="1">
        <f>J18/2</f>
        <v>14</v>
      </c>
      <c r="H18" s="1">
        <f t="shared" ref="H18:I18" si="4">K18/2</f>
        <v>15</v>
      </c>
      <c r="I18" s="1">
        <f t="shared" si="4"/>
        <v>11</v>
      </c>
      <c r="J18">
        <v>28</v>
      </c>
      <c r="K18">
        <v>30</v>
      </c>
      <c r="L18">
        <v>22</v>
      </c>
      <c r="M18" t="s">
        <v>16</v>
      </c>
    </row>
    <row r="19" spans="1:13" x14ac:dyDescent="0.2">
      <c r="A19" s="1"/>
      <c r="B19" s="1"/>
      <c r="C19" s="1">
        <v>3</v>
      </c>
      <c r="D19" s="1">
        <v>104</v>
      </c>
      <c r="E19" s="1">
        <v>97</v>
      </c>
      <c r="F19" s="1">
        <v>103</v>
      </c>
      <c r="G19" s="1">
        <f>J19/2</f>
        <v>19.5</v>
      </c>
      <c r="H19" s="1">
        <f t="shared" ref="H19" si="5">K19/2</f>
        <v>30</v>
      </c>
      <c r="I19" s="1">
        <f t="shared" ref="I19" si="6">L19/2</f>
        <v>26.5</v>
      </c>
      <c r="J19">
        <v>39</v>
      </c>
      <c r="K19">
        <v>60</v>
      </c>
      <c r="L19">
        <v>53</v>
      </c>
    </row>
  </sheetData>
  <mergeCells count="2">
    <mergeCell ref="D1:F1"/>
    <mergeCell ref="G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5EA90-8AEC-854E-B156-1187DEAF50BB}">
  <dimension ref="A1:M19"/>
  <sheetViews>
    <sheetView topLeftCell="A4" zoomScale="140" zoomScaleNormal="140" workbookViewId="0">
      <selection activeCell="G17" sqref="A1:M19"/>
    </sheetView>
  </sheetViews>
  <sheetFormatPr baseColWidth="10" defaultRowHeight="16" x14ac:dyDescent="0.2"/>
  <sheetData>
    <row r="1" spans="1:13" x14ac:dyDescent="0.2">
      <c r="A1" s="1" t="s">
        <v>3</v>
      </c>
      <c r="B1" s="1"/>
      <c r="C1" s="1" t="s">
        <v>2</v>
      </c>
      <c r="D1" s="5" t="s">
        <v>0</v>
      </c>
      <c r="E1" s="5"/>
      <c r="F1" s="5"/>
      <c r="G1" s="5" t="s">
        <v>1</v>
      </c>
      <c r="H1" s="5"/>
      <c r="I1" s="5"/>
      <c r="J1" s="4" t="s">
        <v>6</v>
      </c>
      <c r="K1" s="4"/>
      <c r="L1" s="4"/>
      <c r="M1" t="s">
        <v>11</v>
      </c>
    </row>
    <row r="2" spans="1:13" x14ac:dyDescent="0.2">
      <c r="A2" s="1" t="s">
        <v>4</v>
      </c>
      <c r="B2" s="1">
        <v>100</v>
      </c>
      <c r="C2" s="1">
        <v>1</v>
      </c>
      <c r="D2">
        <v>63</v>
      </c>
      <c r="E2" s="1">
        <v>53</v>
      </c>
      <c r="F2" s="1">
        <v>72</v>
      </c>
      <c r="G2" s="1">
        <v>69</v>
      </c>
      <c r="H2" s="1">
        <v>59</v>
      </c>
      <c r="I2" s="1">
        <v>53</v>
      </c>
      <c r="M2" t="s">
        <v>7</v>
      </c>
    </row>
    <row r="3" spans="1:13" x14ac:dyDescent="0.2">
      <c r="A3" s="1"/>
      <c r="B3" s="1"/>
      <c r="C3" s="1">
        <v>2</v>
      </c>
      <c r="D3">
        <v>75</v>
      </c>
      <c r="E3">
        <v>70</v>
      </c>
      <c r="F3" s="1">
        <v>64</v>
      </c>
      <c r="G3" s="1">
        <v>78</v>
      </c>
      <c r="H3" s="1">
        <v>62</v>
      </c>
      <c r="I3" s="1">
        <v>64</v>
      </c>
      <c r="M3" t="s">
        <v>8</v>
      </c>
    </row>
    <row r="4" spans="1:13" x14ac:dyDescent="0.2">
      <c r="A4" s="1"/>
      <c r="B4" s="1"/>
      <c r="C4" s="1">
        <v>3</v>
      </c>
      <c r="D4">
        <v>57</v>
      </c>
      <c r="E4">
        <v>70</v>
      </c>
      <c r="F4" s="1">
        <v>67</v>
      </c>
      <c r="G4" s="1">
        <v>42</v>
      </c>
      <c r="H4" s="1">
        <v>49</v>
      </c>
      <c r="I4" s="1">
        <v>51</v>
      </c>
    </row>
    <row r="5" spans="1:13" x14ac:dyDescent="0.2">
      <c r="A5" s="1"/>
      <c r="B5" s="1">
        <v>90</v>
      </c>
      <c r="C5" s="1">
        <v>1</v>
      </c>
      <c r="D5">
        <v>53</v>
      </c>
      <c r="E5" s="1">
        <v>48</v>
      </c>
      <c r="F5" s="1">
        <v>42</v>
      </c>
      <c r="G5">
        <f>J5/5</f>
        <v>3.2</v>
      </c>
      <c r="H5">
        <f t="shared" ref="H5:I5" si="0">K5/5</f>
        <v>2.2000000000000002</v>
      </c>
      <c r="I5">
        <f t="shared" si="0"/>
        <v>4.2</v>
      </c>
      <c r="J5" s="1">
        <v>16</v>
      </c>
      <c r="K5" s="1">
        <v>11</v>
      </c>
      <c r="L5" s="1">
        <v>21</v>
      </c>
      <c r="M5" t="s">
        <v>9</v>
      </c>
    </row>
    <row r="6" spans="1:13" x14ac:dyDescent="0.2">
      <c r="A6" s="1"/>
      <c r="B6" s="1"/>
      <c r="C6" s="1">
        <v>2</v>
      </c>
      <c r="D6">
        <v>55</v>
      </c>
      <c r="E6">
        <v>68</v>
      </c>
      <c r="F6" s="1">
        <v>52</v>
      </c>
      <c r="G6">
        <f t="shared" ref="G6:G7" si="1">J6/5</f>
        <v>4.8</v>
      </c>
      <c r="H6">
        <f t="shared" ref="H6:H7" si="2">K6/5</f>
        <v>6.8</v>
      </c>
      <c r="I6">
        <f t="shared" ref="I6:I7" si="3">L6/5</f>
        <v>5.2</v>
      </c>
      <c r="J6" s="1">
        <v>24</v>
      </c>
      <c r="K6" s="1">
        <v>34</v>
      </c>
      <c r="L6" s="1">
        <v>26</v>
      </c>
      <c r="M6" t="s">
        <v>10</v>
      </c>
    </row>
    <row r="7" spans="1:13" x14ac:dyDescent="0.2">
      <c r="A7" s="1"/>
      <c r="B7" s="1"/>
      <c r="C7" s="1">
        <v>3</v>
      </c>
      <c r="D7">
        <v>53</v>
      </c>
      <c r="E7">
        <v>54</v>
      </c>
      <c r="F7" s="1">
        <v>49</v>
      </c>
      <c r="G7">
        <f t="shared" si="1"/>
        <v>4</v>
      </c>
      <c r="H7">
        <f t="shared" si="2"/>
        <v>5.6</v>
      </c>
      <c r="I7">
        <f t="shared" si="3"/>
        <v>3.6</v>
      </c>
      <c r="J7" s="1">
        <v>20</v>
      </c>
      <c r="K7" s="1">
        <v>28</v>
      </c>
      <c r="L7" s="1">
        <v>18</v>
      </c>
    </row>
    <row r="8" spans="1:13" x14ac:dyDescent="0.2">
      <c r="A8" s="1"/>
      <c r="B8" s="1">
        <v>50</v>
      </c>
      <c r="C8" s="1">
        <v>1</v>
      </c>
      <c r="D8">
        <v>39</v>
      </c>
      <c r="E8" s="1">
        <v>34</v>
      </c>
      <c r="F8" s="1">
        <v>41</v>
      </c>
      <c r="G8" s="1">
        <f>J8/10</f>
        <v>3</v>
      </c>
      <c r="H8" s="1">
        <f t="shared" ref="H8:I8" si="4">K8/10</f>
        <v>2.6</v>
      </c>
      <c r="I8" s="1">
        <f t="shared" si="4"/>
        <v>3.4</v>
      </c>
      <c r="J8" s="1">
        <v>30</v>
      </c>
      <c r="K8" s="1">
        <v>26</v>
      </c>
      <c r="L8" s="1">
        <v>34</v>
      </c>
      <c r="M8" t="s">
        <v>7</v>
      </c>
    </row>
    <row r="9" spans="1:13" x14ac:dyDescent="0.2">
      <c r="A9" s="1"/>
      <c r="B9" s="1"/>
      <c r="C9" s="1">
        <v>2</v>
      </c>
      <c r="D9">
        <v>41</v>
      </c>
      <c r="E9">
        <v>41</v>
      </c>
      <c r="F9" s="1">
        <v>32</v>
      </c>
      <c r="G9" s="1">
        <f t="shared" ref="G9:G10" si="5">J9/10</f>
        <v>4.2</v>
      </c>
      <c r="H9" s="1">
        <f t="shared" ref="H9:H10" si="6">K9/10</f>
        <v>3.7</v>
      </c>
      <c r="I9" s="1">
        <f t="shared" ref="I9:I10" si="7">L9/10</f>
        <v>3.1</v>
      </c>
      <c r="J9" s="1">
        <v>42</v>
      </c>
      <c r="K9" s="1">
        <v>37</v>
      </c>
      <c r="L9" s="1">
        <v>31</v>
      </c>
      <c r="M9" t="s">
        <v>10</v>
      </c>
    </row>
    <row r="10" spans="1:13" x14ac:dyDescent="0.2">
      <c r="A10" s="1"/>
      <c r="B10" s="1"/>
      <c r="C10" s="1">
        <v>3</v>
      </c>
      <c r="D10">
        <v>39</v>
      </c>
      <c r="E10">
        <v>22</v>
      </c>
      <c r="F10" s="1">
        <v>34</v>
      </c>
      <c r="G10" s="1">
        <f t="shared" si="5"/>
        <v>3.4</v>
      </c>
      <c r="H10" s="1">
        <f t="shared" si="6"/>
        <v>3.6</v>
      </c>
      <c r="I10" s="1">
        <f t="shared" si="7"/>
        <v>1.8</v>
      </c>
      <c r="J10" s="1">
        <v>34</v>
      </c>
      <c r="K10" s="1">
        <v>36</v>
      </c>
      <c r="L10" s="1">
        <v>18</v>
      </c>
    </row>
    <row r="11" spans="1:13" x14ac:dyDescent="0.2">
      <c r="A11" s="1" t="s">
        <v>5</v>
      </c>
      <c r="B11" s="1">
        <v>100</v>
      </c>
      <c r="C11" s="1">
        <v>1</v>
      </c>
      <c r="D11" s="1">
        <v>32</v>
      </c>
      <c r="E11" s="1">
        <v>34</v>
      </c>
      <c r="F11" s="1">
        <v>41</v>
      </c>
      <c r="G11" s="1">
        <v>34</v>
      </c>
      <c r="H11" s="1">
        <v>35</v>
      </c>
      <c r="I11" s="1">
        <v>27</v>
      </c>
      <c r="M11" t="s">
        <v>9</v>
      </c>
    </row>
    <row r="12" spans="1:13" x14ac:dyDescent="0.2">
      <c r="A12" s="1"/>
      <c r="B12" s="1"/>
      <c r="C12" s="1">
        <v>2</v>
      </c>
      <c r="D12" s="1">
        <v>58</v>
      </c>
      <c r="E12" s="1">
        <v>45</v>
      </c>
      <c r="F12" s="1">
        <v>50</v>
      </c>
      <c r="G12" s="1">
        <v>52</v>
      </c>
      <c r="H12" s="1">
        <v>46</v>
      </c>
      <c r="I12" s="1">
        <v>38</v>
      </c>
      <c r="M12" t="s">
        <v>12</v>
      </c>
    </row>
    <row r="13" spans="1:13" x14ac:dyDescent="0.2">
      <c r="A13" s="1"/>
      <c r="B13" s="1"/>
      <c r="C13" s="1">
        <v>3</v>
      </c>
      <c r="D13" s="1">
        <v>23</v>
      </c>
      <c r="E13" s="1">
        <v>22</v>
      </c>
      <c r="F13" s="1">
        <v>21</v>
      </c>
      <c r="G13" s="1">
        <v>20</v>
      </c>
      <c r="H13" s="1">
        <v>19</v>
      </c>
      <c r="I13" s="1">
        <v>22</v>
      </c>
    </row>
    <row r="14" spans="1:13" x14ac:dyDescent="0.2">
      <c r="A14" s="1"/>
      <c r="B14" s="1">
        <v>90</v>
      </c>
      <c r="C14" s="1">
        <v>1</v>
      </c>
      <c r="D14" s="1">
        <v>14</v>
      </c>
      <c r="E14" s="1">
        <v>15</v>
      </c>
      <c r="F14" s="1">
        <v>21</v>
      </c>
      <c r="G14" s="1">
        <v>28</v>
      </c>
      <c r="H14" s="1">
        <v>17</v>
      </c>
      <c r="I14" s="1">
        <v>15</v>
      </c>
      <c r="M14" t="s">
        <v>9</v>
      </c>
    </row>
    <row r="15" spans="1:13" x14ac:dyDescent="0.2">
      <c r="A15" s="1"/>
      <c r="B15" s="1"/>
      <c r="C15" s="1">
        <v>2</v>
      </c>
      <c r="D15" s="1">
        <v>29</v>
      </c>
      <c r="E15" s="1">
        <v>21</v>
      </c>
      <c r="F15" s="1">
        <v>37</v>
      </c>
      <c r="G15" s="1">
        <v>32</v>
      </c>
      <c r="H15" s="1">
        <v>17</v>
      </c>
      <c r="I15" s="1">
        <v>18</v>
      </c>
      <c r="M15" t="s">
        <v>12</v>
      </c>
    </row>
    <row r="16" spans="1:13" x14ac:dyDescent="0.2">
      <c r="A16" s="1"/>
      <c r="B16" s="1"/>
      <c r="C16" s="1">
        <v>3</v>
      </c>
      <c r="D16" s="1">
        <v>37</v>
      </c>
      <c r="E16" s="1">
        <v>51</v>
      </c>
      <c r="F16" s="1">
        <v>42</v>
      </c>
      <c r="G16" s="1">
        <v>25</v>
      </c>
      <c r="H16" s="1">
        <v>32</v>
      </c>
      <c r="I16" s="1">
        <v>38</v>
      </c>
    </row>
    <row r="17" spans="1:13" x14ac:dyDescent="0.2">
      <c r="A17" s="1"/>
      <c r="B17" s="1">
        <v>50</v>
      </c>
      <c r="C17" s="1">
        <v>1</v>
      </c>
      <c r="D17" s="1">
        <v>32</v>
      </c>
      <c r="E17" s="1">
        <v>32</v>
      </c>
      <c r="F17" s="1">
        <v>30</v>
      </c>
      <c r="G17">
        <f>J17/10</f>
        <v>0.8</v>
      </c>
      <c r="H17">
        <f t="shared" ref="H17:I17" si="8">K17/10</f>
        <v>1.5</v>
      </c>
      <c r="I17">
        <f t="shared" si="8"/>
        <v>1.2</v>
      </c>
      <c r="J17" s="1">
        <v>8</v>
      </c>
      <c r="K17" s="1">
        <v>15</v>
      </c>
      <c r="L17" s="1">
        <v>12</v>
      </c>
      <c r="M17" t="s">
        <v>7</v>
      </c>
    </row>
    <row r="18" spans="1:13" x14ac:dyDescent="0.2">
      <c r="A18" s="1"/>
      <c r="B18" s="1"/>
      <c r="C18" s="1">
        <v>2</v>
      </c>
      <c r="D18" s="1">
        <v>39</v>
      </c>
      <c r="E18" s="1">
        <v>39</v>
      </c>
      <c r="F18" s="1">
        <v>32</v>
      </c>
      <c r="G18">
        <f t="shared" ref="G18:G19" si="9">J18/10</f>
        <v>0.7</v>
      </c>
      <c r="H18">
        <f t="shared" ref="H18:H19" si="10">K18/10</f>
        <v>1.1000000000000001</v>
      </c>
      <c r="I18">
        <f t="shared" ref="I18:I19" si="11">L18/10</f>
        <v>1.2</v>
      </c>
      <c r="J18" s="1">
        <v>7</v>
      </c>
      <c r="K18" s="1">
        <v>11</v>
      </c>
      <c r="L18" s="1">
        <v>12</v>
      </c>
      <c r="M18" t="s">
        <v>10</v>
      </c>
    </row>
    <row r="19" spans="1:13" x14ac:dyDescent="0.2">
      <c r="A19" s="1"/>
      <c r="B19" s="1"/>
      <c r="C19" s="1">
        <v>3</v>
      </c>
      <c r="D19" s="1">
        <v>11</v>
      </c>
      <c r="E19" s="1">
        <v>17</v>
      </c>
      <c r="F19" s="1">
        <v>11</v>
      </c>
      <c r="G19">
        <f t="shared" si="9"/>
        <v>0.6</v>
      </c>
      <c r="H19">
        <f t="shared" si="10"/>
        <v>0.4</v>
      </c>
      <c r="I19">
        <f t="shared" si="11"/>
        <v>0.9</v>
      </c>
      <c r="J19" s="1">
        <v>6</v>
      </c>
      <c r="K19" s="1">
        <v>4</v>
      </c>
      <c r="L19" s="1">
        <v>9</v>
      </c>
    </row>
  </sheetData>
  <mergeCells count="3">
    <mergeCell ref="D1:F1"/>
    <mergeCell ref="G1:I1"/>
    <mergeCell ref="J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B6D8-38EE-8F44-B9AE-A92FB72BA086}">
  <dimension ref="A1:M19"/>
  <sheetViews>
    <sheetView topLeftCell="A4" zoomScale="132" workbookViewId="0">
      <selection activeCell="I16" sqref="I16"/>
    </sheetView>
  </sheetViews>
  <sheetFormatPr baseColWidth="10" defaultRowHeight="16" x14ac:dyDescent="0.2"/>
  <sheetData>
    <row r="1" spans="1:13" x14ac:dyDescent="0.2">
      <c r="A1" s="1" t="s">
        <v>3</v>
      </c>
      <c r="B1" s="1"/>
      <c r="C1" s="1" t="s">
        <v>2</v>
      </c>
      <c r="D1" s="5" t="s">
        <v>0</v>
      </c>
      <c r="E1" s="5"/>
      <c r="F1" s="5"/>
      <c r="G1" s="5" t="s">
        <v>1</v>
      </c>
      <c r="H1" s="5"/>
      <c r="I1" s="5"/>
      <c r="J1" s="4" t="s">
        <v>6</v>
      </c>
      <c r="K1" s="4"/>
      <c r="L1" s="4"/>
      <c r="M1" t="s">
        <v>11</v>
      </c>
    </row>
    <row r="2" spans="1:13" x14ac:dyDescent="0.2">
      <c r="A2" s="1" t="s">
        <v>4</v>
      </c>
      <c r="B2" s="1">
        <v>100</v>
      </c>
      <c r="C2" s="1">
        <v>1</v>
      </c>
      <c r="D2">
        <v>77</v>
      </c>
      <c r="E2" s="1">
        <v>84</v>
      </c>
      <c r="F2" s="1">
        <v>94</v>
      </c>
      <c r="G2" s="1">
        <v>27</v>
      </c>
      <c r="H2" s="1">
        <v>38</v>
      </c>
      <c r="I2" s="1"/>
      <c r="M2" t="s">
        <v>7</v>
      </c>
    </row>
    <row r="3" spans="1:13" x14ac:dyDescent="0.2">
      <c r="A3" s="1"/>
      <c r="B3" s="1"/>
      <c r="C3" s="1">
        <v>2</v>
      </c>
      <c r="D3">
        <v>77</v>
      </c>
      <c r="E3">
        <v>100</v>
      </c>
      <c r="F3" s="1">
        <v>120</v>
      </c>
      <c r="G3" s="1">
        <v>31</v>
      </c>
      <c r="H3" s="1">
        <v>40</v>
      </c>
      <c r="I3" s="1"/>
      <c r="M3" t="s">
        <v>8</v>
      </c>
    </row>
    <row r="4" spans="1:13" x14ac:dyDescent="0.2">
      <c r="A4" s="1"/>
      <c r="B4" s="1"/>
      <c r="C4" s="1">
        <v>3</v>
      </c>
      <c r="D4">
        <v>56</v>
      </c>
      <c r="E4">
        <v>53</v>
      </c>
      <c r="F4" s="1">
        <v>72</v>
      </c>
      <c r="G4" s="1">
        <v>13</v>
      </c>
      <c r="H4" s="1">
        <v>20</v>
      </c>
      <c r="I4" s="1"/>
    </row>
    <row r="5" spans="1:13" x14ac:dyDescent="0.2">
      <c r="A5" s="1"/>
      <c r="B5" s="1">
        <v>90</v>
      </c>
      <c r="C5" s="1">
        <v>1</v>
      </c>
      <c r="D5">
        <v>84</v>
      </c>
      <c r="E5" s="1">
        <v>96</v>
      </c>
      <c r="F5" s="1">
        <v>88</v>
      </c>
      <c r="G5">
        <f>J5/20</f>
        <v>4.5</v>
      </c>
      <c r="H5">
        <f t="shared" ref="H5:I5" si="0">K5/20</f>
        <v>5.4</v>
      </c>
      <c r="I5">
        <f t="shared" si="0"/>
        <v>4.6500000000000004</v>
      </c>
      <c r="J5">
        <v>90</v>
      </c>
      <c r="K5" s="1">
        <v>108</v>
      </c>
      <c r="L5" s="1">
        <v>93</v>
      </c>
      <c r="M5" t="s">
        <v>7</v>
      </c>
    </row>
    <row r="6" spans="1:13" x14ac:dyDescent="0.2">
      <c r="A6" s="1"/>
      <c r="B6" s="1"/>
      <c r="C6" s="1">
        <v>2</v>
      </c>
      <c r="D6">
        <v>26</v>
      </c>
      <c r="E6">
        <v>26</v>
      </c>
      <c r="F6" s="1">
        <v>27</v>
      </c>
      <c r="G6">
        <f t="shared" ref="G6:G7" si="1">J6/20</f>
        <v>2.5</v>
      </c>
      <c r="H6">
        <f t="shared" ref="H6:H7" si="2">K6/20</f>
        <v>3.1</v>
      </c>
      <c r="I6">
        <f t="shared" ref="I6:I7" si="3">L6/20</f>
        <v>2.1</v>
      </c>
      <c r="J6" s="1">
        <v>50</v>
      </c>
      <c r="K6" s="1">
        <v>62</v>
      </c>
      <c r="L6" s="1">
        <v>42</v>
      </c>
      <c r="M6" t="s">
        <v>13</v>
      </c>
    </row>
    <row r="7" spans="1:13" x14ac:dyDescent="0.2">
      <c r="A7" s="1"/>
      <c r="B7" s="1"/>
      <c r="C7" s="1">
        <v>3</v>
      </c>
      <c r="D7">
        <v>8</v>
      </c>
      <c r="E7">
        <v>9</v>
      </c>
      <c r="F7" s="1">
        <v>8</v>
      </c>
      <c r="G7">
        <f t="shared" si="1"/>
        <v>0.35</v>
      </c>
      <c r="H7">
        <f t="shared" si="2"/>
        <v>0.55000000000000004</v>
      </c>
      <c r="I7">
        <f t="shared" si="3"/>
        <v>0.45</v>
      </c>
      <c r="J7" s="1">
        <v>7</v>
      </c>
      <c r="K7" s="1">
        <v>11</v>
      </c>
      <c r="L7" s="1">
        <v>9</v>
      </c>
    </row>
    <row r="8" spans="1:13" x14ac:dyDescent="0.2">
      <c r="A8" s="1"/>
      <c r="B8" s="1">
        <v>50</v>
      </c>
      <c r="C8" s="1">
        <v>1</v>
      </c>
      <c r="D8">
        <v>44</v>
      </c>
      <c r="E8" s="1">
        <v>42</v>
      </c>
      <c r="F8" s="1">
        <v>39</v>
      </c>
      <c r="G8" s="1">
        <f>J8/10</f>
        <v>2.6</v>
      </c>
      <c r="H8" s="1">
        <f t="shared" ref="H8" si="4">K8/10</f>
        <v>3</v>
      </c>
      <c r="I8" s="1">
        <f t="shared" ref="I8" si="5">L8/10</f>
        <v>2.9</v>
      </c>
      <c r="J8" s="1">
        <v>26</v>
      </c>
      <c r="K8" s="1">
        <v>30</v>
      </c>
      <c r="L8" s="1">
        <v>29</v>
      </c>
      <c r="M8" t="s">
        <v>9</v>
      </c>
    </row>
    <row r="9" spans="1:13" x14ac:dyDescent="0.2">
      <c r="A9" s="1"/>
      <c r="B9" s="1"/>
      <c r="C9" s="1">
        <v>2</v>
      </c>
      <c r="D9">
        <v>32</v>
      </c>
      <c r="E9">
        <v>41</v>
      </c>
      <c r="F9" s="1">
        <v>39</v>
      </c>
      <c r="G9" s="1">
        <f t="shared" ref="G9:G10" si="6">J9/10</f>
        <v>3.8</v>
      </c>
      <c r="H9" s="1">
        <f t="shared" ref="H9:H10" si="7">K9/10</f>
        <v>3.8</v>
      </c>
      <c r="I9" s="1">
        <f t="shared" ref="I9:I10" si="8">L9/10</f>
        <v>3.4</v>
      </c>
      <c r="J9" s="1">
        <v>38</v>
      </c>
      <c r="K9" s="1">
        <v>38</v>
      </c>
      <c r="L9" s="1">
        <v>34</v>
      </c>
      <c r="M9" t="s">
        <v>13</v>
      </c>
    </row>
    <row r="10" spans="1:13" x14ac:dyDescent="0.2">
      <c r="A10" s="1"/>
      <c r="B10" s="1"/>
      <c r="C10" s="1">
        <v>3</v>
      </c>
      <c r="D10">
        <v>42</v>
      </c>
      <c r="E10">
        <v>51</v>
      </c>
      <c r="F10" s="1">
        <v>48</v>
      </c>
      <c r="G10" s="1">
        <f t="shared" si="6"/>
        <v>3.1</v>
      </c>
      <c r="H10" s="1">
        <f t="shared" si="7"/>
        <v>3.2</v>
      </c>
      <c r="I10" s="1">
        <f t="shared" si="8"/>
        <v>3.3</v>
      </c>
      <c r="J10" s="1">
        <v>31</v>
      </c>
      <c r="K10" s="1">
        <v>32</v>
      </c>
      <c r="L10" s="1">
        <v>33</v>
      </c>
    </row>
    <row r="11" spans="1:13" x14ac:dyDescent="0.2">
      <c r="A11" s="1" t="s">
        <v>5</v>
      </c>
      <c r="B11" s="1">
        <v>100</v>
      </c>
      <c r="C11" s="1">
        <v>1</v>
      </c>
      <c r="D11" s="1">
        <v>72</v>
      </c>
      <c r="E11" s="1">
        <v>86</v>
      </c>
      <c r="F11" s="1">
        <v>56</v>
      </c>
      <c r="G11" s="1">
        <v>74</v>
      </c>
      <c r="H11" s="1">
        <v>76</v>
      </c>
      <c r="I11" s="1">
        <v>54</v>
      </c>
      <c r="M11" t="s">
        <v>7</v>
      </c>
    </row>
    <row r="12" spans="1:13" x14ac:dyDescent="0.2">
      <c r="A12" s="1"/>
      <c r="B12" s="1"/>
      <c r="C12" s="1">
        <v>2</v>
      </c>
      <c r="D12" s="1">
        <v>76</v>
      </c>
      <c r="E12" s="1">
        <v>95</v>
      </c>
      <c r="F12" s="1">
        <v>68</v>
      </c>
      <c r="G12" s="1">
        <v>80</v>
      </c>
      <c r="H12" s="1">
        <v>60</v>
      </c>
      <c r="I12" s="1">
        <v>65</v>
      </c>
      <c r="M12" t="s">
        <v>8</v>
      </c>
    </row>
    <row r="13" spans="1:13" x14ac:dyDescent="0.2">
      <c r="A13" s="1"/>
      <c r="B13" s="1"/>
      <c r="C13" s="1">
        <v>3</v>
      </c>
      <c r="D13" s="1">
        <v>31</v>
      </c>
      <c r="E13" s="1">
        <v>30</v>
      </c>
      <c r="F13" s="1">
        <v>40</v>
      </c>
      <c r="G13" s="1">
        <v>36</v>
      </c>
      <c r="H13" s="1">
        <v>37</v>
      </c>
      <c r="I13" s="1">
        <v>34</v>
      </c>
    </row>
    <row r="14" spans="1:13" x14ac:dyDescent="0.2">
      <c r="A14" s="1"/>
      <c r="B14" s="1">
        <v>90</v>
      </c>
      <c r="C14" s="1">
        <v>1</v>
      </c>
      <c r="D14" s="1">
        <v>21</v>
      </c>
      <c r="E14" s="1">
        <v>27</v>
      </c>
      <c r="F14" s="1">
        <v>27</v>
      </c>
      <c r="G14" s="1">
        <f>J14/5</f>
        <v>17</v>
      </c>
      <c r="H14" s="1">
        <f t="shared" ref="H14:I14" si="9">K14/5</f>
        <v>14.6</v>
      </c>
      <c r="I14" s="1">
        <f t="shared" si="9"/>
        <v>11.6</v>
      </c>
      <c r="J14">
        <v>85</v>
      </c>
      <c r="K14">
        <v>73</v>
      </c>
      <c r="L14">
        <v>58</v>
      </c>
      <c r="M14" t="s">
        <v>9</v>
      </c>
    </row>
    <row r="15" spans="1:13" x14ac:dyDescent="0.2">
      <c r="A15" s="1"/>
      <c r="B15" s="1"/>
      <c r="C15" s="1">
        <v>2</v>
      </c>
      <c r="D15" s="1">
        <v>15</v>
      </c>
      <c r="E15" s="1">
        <v>18</v>
      </c>
      <c r="F15" s="1">
        <v>19</v>
      </c>
      <c r="G15" s="1">
        <f t="shared" ref="G15:G16" si="10">J15/5</f>
        <v>11.8</v>
      </c>
      <c r="H15" s="1">
        <f t="shared" ref="H15:H16" si="11">K15/5</f>
        <v>9.6</v>
      </c>
      <c r="I15" s="1">
        <f t="shared" ref="I15:I16" si="12">L15/5</f>
        <v>8</v>
      </c>
      <c r="J15">
        <v>59</v>
      </c>
      <c r="K15">
        <v>48</v>
      </c>
      <c r="L15">
        <v>40</v>
      </c>
      <c r="M15" t="s">
        <v>10</v>
      </c>
    </row>
    <row r="16" spans="1:13" x14ac:dyDescent="0.2">
      <c r="A16" s="1"/>
      <c r="B16" s="1"/>
      <c r="C16" s="1">
        <v>3</v>
      </c>
      <c r="D16" s="1">
        <v>26</v>
      </c>
      <c r="E16" s="1">
        <v>25</v>
      </c>
      <c r="F16" s="1">
        <v>30</v>
      </c>
      <c r="G16" s="1">
        <f t="shared" si="10"/>
        <v>13</v>
      </c>
      <c r="H16" s="1">
        <f t="shared" si="11"/>
        <v>14</v>
      </c>
      <c r="I16" s="1">
        <f t="shared" si="12"/>
        <v>15.8</v>
      </c>
      <c r="J16">
        <v>65</v>
      </c>
      <c r="K16">
        <v>70</v>
      </c>
      <c r="L16">
        <v>79</v>
      </c>
    </row>
    <row r="17" spans="1:13" x14ac:dyDescent="0.2">
      <c r="A17" s="1"/>
      <c r="B17" s="1">
        <v>50</v>
      </c>
      <c r="C17" s="1">
        <v>1</v>
      </c>
      <c r="D17" s="1">
        <v>51</v>
      </c>
      <c r="E17" s="1">
        <v>49</v>
      </c>
      <c r="F17" s="1">
        <v>49</v>
      </c>
      <c r="G17">
        <f>J17/10</f>
        <v>7.1</v>
      </c>
      <c r="H17">
        <f t="shared" ref="H17:I17" si="13">K17/10</f>
        <v>6.9</v>
      </c>
      <c r="I17">
        <f t="shared" si="13"/>
        <v>5.5</v>
      </c>
      <c r="J17" s="1">
        <v>71</v>
      </c>
      <c r="K17" s="1">
        <v>69</v>
      </c>
      <c r="L17" s="1">
        <v>55</v>
      </c>
      <c r="M17" t="s">
        <v>9</v>
      </c>
    </row>
    <row r="18" spans="1:13" x14ac:dyDescent="0.2">
      <c r="A18" s="1"/>
      <c r="B18" s="1"/>
      <c r="C18" s="1">
        <v>2</v>
      </c>
      <c r="D18" s="1">
        <v>40</v>
      </c>
      <c r="E18" s="1">
        <v>47</v>
      </c>
      <c r="F18" s="1">
        <v>52</v>
      </c>
      <c r="G18">
        <f t="shared" ref="G18:G19" si="14">J18/10</f>
        <v>5.7</v>
      </c>
      <c r="H18">
        <f t="shared" ref="H18:H19" si="15">K18/10</f>
        <v>4.7</v>
      </c>
      <c r="I18">
        <f t="shared" ref="I18:I19" si="16">L18/10</f>
        <v>5</v>
      </c>
      <c r="J18" s="1">
        <v>57</v>
      </c>
      <c r="K18" s="1">
        <v>47</v>
      </c>
      <c r="L18" s="1">
        <v>50</v>
      </c>
      <c r="M18" t="s">
        <v>13</v>
      </c>
    </row>
    <row r="19" spans="1:13" x14ac:dyDescent="0.2">
      <c r="A19" s="1"/>
      <c r="B19" s="1"/>
      <c r="C19" s="1">
        <v>3</v>
      </c>
      <c r="D19" s="1">
        <v>29</v>
      </c>
      <c r="E19" s="1">
        <v>37</v>
      </c>
      <c r="F19" s="1">
        <v>36</v>
      </c>
      <c r="G19">
        <f t="shared" si="14"/>
        <v>3.8</v>
      </c>
      <c r="H19">
        <f t="shared" si="15"/>
        <v>4.2</v>
      </c>
      <c r="I19">
        <f t="shared" si="16"/>
        <v>4.4000000000000004</v>
      </c>
      <c r="J19" s="1">
        <v>38</v>
      </c>
      <c r="K19" s="1">
        <v>42</v>
      </c>
      <c r="L19" s="1">
        <v>44</v>
      </c>
    </row>
  </sheetData>
  <mergeCells count="3">
    <mergeCell ref="D1:F1"/>
    <mergeCell ref="G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Day0</vt:lpstr>
      <vt:lpstr>Day3</vt:lpstr>
      <vt:lpstr>Day6</vt:lpstr>
      <vt:lpstr>Day9</vt:lpstr>
      <vt:lpstr>Day14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Zhengqing John Zhou</cp:lastModifiedBy>
  <dcterms:created xsi:type="dcterms:W3CDTF">2023-05-31T00:17:56Z</dcterms:created>
  <dcterms:modified xsi:type="dcterms:W3CDTF">2026-05-19T14:50:27Z</dcterms:modified>
</cp:coreProperties>
</file>